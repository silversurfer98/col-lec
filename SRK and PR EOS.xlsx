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iscellaneous\cl\"/>
    </mc:Choice>
  </mc:AlternateContent>
  <xr:revisionPtr revIDLastSave="0" documentId="13_ncr:1_{386701E7-0FF9-4B22-9F48-BD60B06E03FD}" xr6:coauthVersionLast="43" xr6:coauthVersionMax="45" xr10:uidLastSave="{00000000-0000-0000-0000-000000000000}"/>
  <bookViews>
    <workbookView xWindow="-8628" yWindow="3072" windowWidth="17280" windowHeight="8964" activeTab="4" xr2:uid="{8831BC6F-421B-42E3-988C-043E55E7153F}"/>
  </bookViews>
  <sheets>
    <sheet name="SRK" sheetId="1" r:id="rId1"/>
    <sheet name="SRK H2 Modification" sheetId="4" r:id="rId2"/>
    <sheet name="PR" sheetId="3" r:id="rId3"/>
    <sheet name="CONSTANTS" sheetId="2" r:id="rId4"/>
    <sheet name="PR (2)" sheetId="5" r:id="rId5"/>
  </sheets>
  <definedNames>
    <definedName name="A" localSheetId="2">PR!#REF!</definedName>
    <definedName name="A" localSheetId="4">'PR (2)'!#REF!</definedName>
    <definedName name="A" localSheetId="0">SRK!#REF!</definedName>
    <definedName name="A" localSheetId="1">'SRK H2 Modification'!#REF!</definedName>
    <definedName name="B" localSheetId="2">PR!#REF!</definedName>
    <definedName name="B" localSheetId="4">'PR (2)'!#REF!</definedName>
    <definedName name="B" localSheetId="0">SRK!#REF!</definedName>
    <definedName name="B" localSheetId="1">'SRK H2 Modification'!#REF!</definedName>
    <definedName name="P" localSheetId="2">PR!$B$11</definedName>
    <definedName name="P" localSheetId="4">'PR (2)'!$B$11</definedName>
    <definedName name="P" localSheetId="0">SRK!$B$12</definedName>
    <definedName name="P" localSheetId="1">'SRK H2 Modification'!$B$11</definedName>
    <definedName name="solver_adj" localSheetId="1" hidden="1">'SRK H2 Modification'!$B$6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'SRK H2 Modification'!$G$12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1</definedName>
    <definedName name="solver_ver" localSheetId="1" hidden="1">3</definedName>
    <definedName name="Z" localSheetId="2">PR!$C$12:$C$23</definedName>
    <definedName name="Z" localSheetId="4">'PR (2)'!$C$12:$C$17</definedName>
    <definedName name="Z" localSheetId="0">SRK!$C$14:$C$17</definedName>
    <definedName name="Z" localSheetId="1">'SRK H2 Modification'!$C$13:$C$16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8" i="5" l="1"/>
  <c r="B7" i="5" l="1"/>
  <c r="B98" i="5" l="1"/>
  <c r="C98" i="5"/>
  <c r="D98" i="5"/>
  <c r="E98" i="5"/>
  <c r="F98" i="5"/>
  <c r="G98" i="5"/>
  <c r="H98" i="5"/>
  <c r="I98" i="5"/>
  <c r="J98" i="5"/>
  <c r="K98" i="5"/>
  <c r="A99" i="5"/>
  <c r="A100" i="5"/>
  <c r="A101" i="5"/>
  <c r="A102" i="5"/>
  <c r="A103" i="5"/>
  <c r="A104" i="5"/>
  <c r="A105" i="5"/>
  <c r="A106" i="5"/>
  <c r="B14" i="5"/>
  <c r="A130" i="5" l="1"/>
  <c r="A129" i="5"/>
  <c r="A128" i="5"/>
  <c r="A127" i="5"/>
  <c r="A126" i="5"/>
  <c r="A125" i="5"/>
  <c r="A124" i="5"/>
  <c r="A123" i="5"/>
  <c r="A122" i="5"/>
  <c r="A121" i="5"/>
  <c r="A113" i="5"/>
  <c r="K112" i="5"/>
  <c r="J112" i="5"/>
  <c r="I112" i="5"/>
  <c r="H112" i="5"/>
  <c r="G112" i="5"/>
  <c r="F112" i="5"/>
  <c r="E112" i="5"/>
  <c r="D112" i="5"/>
  <c r="C112" i="5"/>
  <c r="B112" i="5"/>
  <c r="A112" i="5"/>
  <c r="A108" i="5"/>
  <c r="A107" i="5"/>
  <c r="K61" i="5"/>
  <c r="J61" i="5"/>
  <c r="I61" i="5"/>
  <c r="H61" i="5"/>
  <c r="G61" i="5"/>
  <c r="F61" i="5"/>
  <c r="E61" i="5"/>
  <c r="D61" i="5"/>
  <c r="C61" i="5"/>
  <c r="B61" i="5"/>
  <c r="K60" i="5"/>
  <c r="J60" i="5"/>
  <c r="I60" i="5"/>
  <c r="H60" i="5"/>
  <c r="G60" i="5"/>
  <c r="F60" i="5"/>
  <c r="E60" i="5"/>
  <c r="D60" i="5"/>
  <c r="C60" i="5"/>
  <c r="B60" i="5"/>
  <c r="K59" i="5"/>
  <c r="J59" i="5"/>
  <c r="I59" i="5"/>
  <c r="H59" i="5"/>
  <c r="G59" i="5"/>
  <c r="F59" i="5"/>
  <c r="E59" i="5"/>
  <c r="D59" i="5"/>
  <c r="C59" i="5"/>
  <c r="B59" i="5"/>
  <c r="K58" i="5"/>
  <c r="J58" i="5"/>
  <c r="I58" i="5"/>
  <c r="H58" i="5"/>
  <c r="G58" i="5"/>
  <c r="F58" i="5"/>
  <c r="E58" i="5"/>
  <c r="D58" i="5"/>
  <c r="C58" i="5"/>
  <c r="B58" i="5"/>
  <c r="K57" i="5"/>
  <c r="J57" i="5"/>
  <c r="I57" i="5"/>
  <c r="H57" i="5"/>
  <c r="G57" i="5"/>
  <c r="F57" i="5"/>
  <c r="E57" i="5"/>
  <c r="D57" i="5"/>
  <c r="C57" i="5"/>
  <c r="B57" i="5"/>
  <c r="K56" i="5"/>
  <c r="J56" i="5"/>
  <c r="I56" i="5"/>
  <c r="H56" i="5"/>
  <c r="G56" i="5"/>
  <c r="F56" i="5"/>
  <c r="E56" i="5"/>
  <c r="D56" i="5"/>
  <c r="C56" i="5"/>
  <c r="B56" i="5"/>
  <c r="K55" i="5"/>
  <c r="J55" i="5"/>
  <c r="I55" i="5"/>
  <c r="H55" i="5"/>
  <c r="G55" i="5"/>
  <c r="F55" i="5"/>
  <c r="E55" i="5"/>
  <c r="D55" i="5"/>
  <c r="C55" i="5"/>
  <c r="B55" i="5"/>
  <c r="K54" i="5"/>
  <c r="J54" i="5"/>
  <c r="I54" i="5"/>
  <c r="H54" i="5"/>
  <c r="G54" i="5"/>
  <c r="F54" i="5"/>
  <c r="E54" i="5"/>
  <c r="D54" i="5"/>
  <c r="C54" i="5"/>
  <c r="B54" i="5"/>
  <c r="K53" i="5"/>
  <c r="J53" i="5"/>
  <c r="I53" i="5"/>
  <c r="H53" i="5"/>
  <c r="G53" i="5"/>
  <c r="F53" i="5"/>
  <c r="E53" i="5"/>
  <c r="D53" i="5"/>
  <c r="C53" i="5"/>
  <c r="B53" i="5"/>
  <c r="K52" i="5"/>
  <c r="J52" i="5"/>
  <c r="I52" i="5"/>
  <c r="H52" i="5"/>
  <c r="G52" i="5"/>
  <c r="F52" i="5"/>
  <c r="E52" i="5"/>
  <c r="D52" i="5"/>
  <c r="C52" i="5"/>
  <c r="B52" i="5"/>
  <c r="K28" i="5"/>
  <c r="J28" i="5"/>
  <c r="I28" i="5"/>
  <c r="H28" i="5"/>
  <c r="G28" i="5"/>
  <c r="F28" i="5"/>
  <c r="E28" i="5"/>
  <c r="D28" i="5"/>
  <c r="C28" i="5"/>
  <c r="B28" i="5"/>
  <c r="G27" i="5"/>
  <c r="F27" i="5"/>
  <c r="F32" i="5" s="1"/>
  <c r="K26" i="5"/>
  <c r="J26" i="5"/>
  <c r="I26" i="5"/>
  <c r="H26" i="5"/>
  <c r="H113" i="5" s="1"/>
  <c r="G26" i="5"/>
  <c r="G113" i="5" s="1"/>
  <c r="F26" i="5"/>
  <c r="F113" i="5" s="1"/>
  <c r="E26" i="5"/>
  <c r="E113" i="5" s="1"/>
  <c r="E114" i="5" s="1"/>
  <c r="D26" i="5"/>
  <c r="D113" i="5" s="1"/>
  <c r="C26" i="5"/>
  <c r="C113" i="5" s="1"/>
  <c r="B26" i="5"/>
  <c r="B113" i="5" s="1"/>
  <c r="K25" i="5"/>
  <c r="J25" i="5"/>
  <c r="I25" i="5"/>
  <c r="H25" i="5"/>
  <c r="G25" i="5"/>
  <c r="F25" i="5"/>
  <c r="E25" i="5"/>
  <c r="D25" i="5"/>
  <c r="C25" i="5"/>
  <c r="B25" i="5"/>
  <c r="L21" i="5"/>
  <c r="A11" i="5"/>
  <c r="A10" i="5"/>
  <c r="F8" i="5"/>
  <c r="J27" i="5"/>
  <c r="J32" i="5" s="1"/>
  <c r="G31" i="5" l="1"/>
  <c r="G32" i="5"/>
  <c r="B114" i="5"/>
  <c r="F114" i="5"/>
  <c r="J29" i="5"/>
  <c r="J30" i="5" s="1"/>
  <c r="J31" i="5"/>
  <c r="J33" i="5" s="1"/>
  <c r="F29" i="5"/>
  <c r="F30" i="5" s="1"/>
  <c r="F70" i="5" s="1"/>
  <c r="F31" i="5"/>
  <c r="F33" i="5" s="1"/>
  <c r="G114" i="5"/>
  <c r="K27" i="5"/>
  <c r="K32" i="5" s="1"/>
  <c r="F7" i="5"/>
  <c r="B27" i="5"/>
  <c r="C27" i="5"/>
  <c r="G29" i="5"/>
  <c r="G30" i="5" s="1"/>
  <c r="G70" i="5" s="1"/>
  <c r="E27" i="5"/>
  <c r="E32" i="5" s="1"/>
  <c r="D114" i="5"/>
  <c r="H114" i="5"/>
  <c r="C114" i="5"/>
  <c r="D27" i="5"/>
  <c r="D32" i="5" s="1"/>
  <c r="I113" i="5"/>
  <c r="I114" i="5" s="1"/>
  <c r="J113" i="5"/>
  <c r="J114" i="5" s="1"/>
  <c r="K113" i="5"/>
  <c r="K114" i="5" s="1"/>
  <c r="H27" i="5"/>
  <c r="H32" i="5" s="1"/>
  <c r="I27" i="5"/>
  <c r="I32" i="5" s="1"/>
  <c r="B8" i="3"/>
  <c r="B7" i="3"/>
  <c r="E57" i="3"/>
  <c r="F57" i="3"/>
  <c r="G57" i="3"/>
  <c r="H57" i="3"/>
  <c r="I57" i="3"/>
  <c r="J57" i="3"/>
  <c r="K57" i="3"/>
  <c r="E58" i="3"/>
  <c r="F58" i="3"/>
  <c r="G58" i="3"/>
  <c r="H58" i="3"/>
  <c r="I58" i="3"/>
  <c r="J58" i="3"/>
  <c r="K58" i="3"/>
  <c r="E59" i="3"/>
  <c r="F59" i="3"/>
  <c r="G59" i="3"/>
  <c r="H59" i="3"/>
  <c r="I59" i="3"/>
  <c r="J59" i="3"/>
  <c r="K59" i="3"/>
  <c r="E60" i="3"/>
  <c r="F60" i="3"/>
  <c r="G60" i="3"/>
  <c r="H60" i="3"/>
  <c r="I60" i="3"/>
  <c r="J60" i="3"/>
  <c r="K60" i="3"/>
  <c r="E61" i="3"/>
  <c r="F61" i="3"/>
  <c r="G61" i="3"/>
  <c r="H61" i="3"/>
  <c r="I61" i="3"/>
  <c r="J61" i="3"/>
  <c r="K61" i="3"/>
  <c r="E62" i="3"/>
  <c r="F62" i="3"/>
  <c r="G62" i="3"/>
  <c r="H62" i="3"/>
  <c r="I62" i="3"/>
  <c r="J62" i="3"/>
  <c r="K62" i="3"/>
  <c r="E63" i="3"/>
  <c r="F63" i="3"/>
  <c r="G63" i="3"/>
  <c r="H63" i="3"/>
  <c r="I63" i="3"/>
  <c r="J63" i="3"/>
  <c r="K63" i="3"/>
  <c r="E64" i="3"/>
  <c r="F64" i="3"/>
  <c r="G64" i="3"/>
  <c r="H64" i="3"/>
  <c r="I64" i="3"/>
  <c r="J64" i="3"/>
  <c r="K64" i="3"/>
  <c r="E65" i="3"/>
  <c r="F65" i="3"/>
  <c r="G65" i="3"/>
  <c r="H65" i="3"/>
  <c r="I65" i="3"/>
  <c r="J65" i="3"/>
  <c r="K65" i="3"/>
  <c r="E66" i="3"/>
  <c r="F66" i="3"/>
  <c r="G66" i="3"/>
  <c r="H66" i="3"/>
  <c r="I66" i="3"/>
  <c r="J66" i="3"/>
  <c r="K6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B59" i="3"/>
  <c r="B60" i="3"/>
  <c r="B61" i="3"/>
  <c r="B62" i="3"/>
  <c r="B63" i="3"/>
  <c r="B64" i="3"/>
  <c r="B65" i="3"/>
  <c r="B66" i="3"/>
  <c r="B58" i="3"/>
  <c r="B57" i="3"/>
  <c r="A116" i="3"/>
  <c r="A123" i="3"/>
  <c r="A122" i="3"/>
  <c r="A121" i="3"/>
  <c r="A120" i="3"/>
  <c r="A119" i="3"/>
  <c r="A118" i="3"/>
  <c r="A117" i="3"/>
  <c r="A115" i="3"/>
  <c r="A114" i="3"/>
  <c r="G33" i="5" l="1"/>
  <c r="A88" i="5"/>
  <c r="F83" i="5"/>
  <c r="J83" i="5"/>
  <c r="A92" i="5"/>
  <c r="B31" i="5"/>
  <c r="B32" i="5"/>
  <c r="C31" i="5"/>
  <c r="C32" i="5"/>
  <c r="A75" i="5"/>
  <c r="F75" i="5" s="1"/>
  <c r="F103" i="5" s="1"/>
  <c r="A76" i="5"/>
  <c r="G76" i="5" s="1"/>
  <c r="G104" i="5" s="1"/>
  <c r="C29" i="5"/>
  <c r="C30" i="5" s="1"/>
  <c r="A72" i="5" s="1"/>
  <c r="G72" i="5" s="1"/>
  <c r="G100" i="5" s="1"/>
  <c r="I29" i="5"/>
  <c r="I30" i="5" s="1"/>
  <c r="I70" i="5" s="1"/>
  <c r="I31" i="5"/>
  <c r="I33" i="5" s="1"/>
  <c r="B29" i="5"/>
  <c r="B30" i="5" s="1"/>
  <c r="A71" i="5" s="1"/>
  <c r="H29" i="5"/>
  <c r="H30" i="5" s="1"/>
  <c r="A77" i="5" s="1"/>
  <c r="G77" i="5" s="1"/>
  <c r="G105" i="5" s="1"/>
  <c r="H31" i="5"/>
  <c r="H33" i="5" s="1"/>
  <c r="K29" i="5"/>
  <c r="K30" i="5" s="1"/>
  <c r="K31" i="5"/>
  <c r="K33" i="5" s="1"/>
  <c r="D29" i="5"/>
  <c r="D30" i="5" s="1"/>
  <c r="D70" i="5" s="1"/>
  <c r="D31" i="5"/>
  <c r="D33" i="5" s="1"/>
  <c r="E29" i="5"/>
  <c r="E30" i="5" s="1"/>
  <c r="E31" i="5"/>
  <c r="E33" i="5" s="1"/>
  <c r="C70" i="5"/>
  <c r="B136" i="5"/>
  <c r="B139" i="5" s="1"/>
  <c r="A79" i="5"/>
  <c r="J70" i="5"/>
  <c r="J13" i="1"/>
  <c r="J12" i="4"/>
  <c r="B9" i="1"/>
  <c r="B8" i="1"/>
  <c r="D27" i="4"/>
  <c r="E27" i="4"/>
  <c r="F27" i="4"/>
  <c r="G27" i="4"/>
  <c r="H27" i="4"/>
  <c r="I27" i="4"/>
  <c r="J27" i="4"/>
  <c r="K27" i="4"/>
  <c r="B27" i="4"/>
  <c r="A99" i="4"/>
  <c r="K98" i="4"/>
  <c r="J98" i="4"/>
  <c r="I98" i="4"/>
  <c r="H98" i="4"/>
  <c r="G98" i="4"/>
  <c r="F98" i="4"/>
  <c r="E98" i="4"/>
  <c r="D98" i="4"/>
  <c r="C98" i="4"/>
  <c r="B98" i="4"/>
  <c r="A98" i="4"/>
  <c r="A94" i="4"/>
  <c r="A93" i="4"/>
  <c r="A92" i="4"/>
  <c r="A91" i="4"/>
  <c r="A90" i="4"/>
  <c r="A89" i="4"/>
  <c r="A88" i="4"/>
  <c r="A87" i="4"/>
  <c r="A86" i="4"/>
  <c r="A85" i="4"/>
  <c r="K84" i="4"/>
  <c r="J84" i="4"/>
  <c r="I84" i="4"/>
  <c r="H84" i="4"/>
  <c r="G84" i="4"/>
  <c r="F84" i="4"/>
  <c r="E84" i="4"/>
  <c r="D84" i="4"/>
  <c r="C84" i="4"/>
  <c r="B84" i="4"/>
  <c r="K25" i="4"/>
  <c r="K99" i="4" s="1"/>
  <c r="J25" i="4"/>
  <c r="J99" i="4" s="1"/>
  <c r="I25" i="4"/>
  <c r="I99" i="4" s="1"/>
  <c r="H25" i="4"/>
  <c r="H99" i="4" s="1"/>
  <c r="G25" i="4"/>
  <c r="G99" i="4" s="1"/>
  <c r="F25" i="4"/>
  <c r="F99" i="4" s="1"/>
  <c r="E25" i="4"/>
  <c r="E99" i="4" s="1"/>
  <c r="D25" i="4"/>
  <c r="D99" i="4" s="1"/>
  <c r="C25" i="4"/>
  <c r="C99" i="4" s="1"/>
  <c r="B25" i="4"/>
  <c r="B99" i="4" s="1"/>
  <c r="K24" i="4"/>
  <c r="J24" i="4"/>
  <c r="I24" i="4"/>
  <c r="H24" i="4"/>
  <c r="G24" i="4"/>
  <c r="F24" i="4"/>
  <c r="E24" i="4"/>
  <c r="D24" i="4"/>
  <c r="C24" i="4"/>
  <c r="B24" i="4"/>
  <c r="L20" i="4"/>
  <c r="A11" i="4"/>
  <c r="A10" i="4"/>
  <c r="B8" i="4"/>
  <c r="B7" i="4"/>
  <c r="D26" i="4" s="1"/>
  <c r="C28" i="1"/>
  <c r="D28" i="1"/>
  <c r="E28" i="1"/>
  <c r="F28" i="1"/>
  <c r="G28" i="1"/>
  <c r="H28" i="1"/>
  <c r="I28" i="1"/>
  <c r="J28" i="1"/>
  <c r="K28" i="1"/>
  <c r="B28" i="1"/>
  <c r="C25" i="1"/>
  <c r="D25" i="1"/>
  <c r="E25" i="1"/>
  <c r="F25" i="1"/>
  <c r="G25" i="1"/>
  <c r="H25" i="1"/>
  <c r="I25" i="1"/>
  <c r="J25" i="1"/>
  <c r="K25" i="1"/>
  <c r="B25" i="1"/>
  <c r="C32" i="3"/>
  <c r="D32" i="3"/>
  <c r="E32" i="3"/>
  <c r="F32" i="3"/>
  <c r="G32" i="3"/>
  <c r="H32" i="3"/>
  <c r="I32" i="3"/>
  <c r="J32" i="3"/>
  <c r="K32" i="3"/>
  <c r="B32" i="3"/>
  <c r="C31" i="3"/>
  <c r="D31" i="3"/>
  <c r="E31" i="3"/>
  <c r="F31" i="3"/>
  <c r="G31" i="3"/>
  <c r="H31" i="3"/>
  <c r="I31" i="3"/>
  <c r="J31" i="3"/>
  <c r="K31" i="3"/>
  <c r="B31" i="3"/>
  <c r="E100" i="4" l="1"/>
  <c r="H70" i="5"/>
  <c r="H76" i="5" s="1"/>
  <c r="H104" i="5" s="1"/>
  <c r="C77" i="5"/>
  <c r="C105" i="5" s="1"/>
  <c r="A91" i="5"/>
  <c r="I83" i="5"/>
  <c r="A87" i="5"/>
  <c r="E83" i="5"/>
  <c r="G83" i="5"/>
  <c r="A89" i="5"/>
  <c r="D83" i="5"/>
  <c r="A86" i="5"/>
  <c r="C79" i="5"/>
  <c r="C129" i="5" s="1"/>
  <c r="A90" i="5"/>
  <c r="H83" i="5"/>
  <c r="K83" i="5"/>
  <c r="A93" i="5"/>
  <c r="B33" i="5"/>
  <c r="F71" i="5"/>
  <c r="C71" i="5"/>
  <c r="C99" i="5" s="1"/>
  <c r="G71" i="5"/>
  <c r="G121" i="5" s="1"/>
  <c r="G75" i="5"/>
  <c r="G103" i="5" s="1"/>
  <c r="C76" i="5"/>
  <c r="C104" i="5" s="1"/>
  <c r="C33" i="5"/>
  <c r="C75" i="5"/>
  <c r="C103" i="5" s="1"/>
  <c r="G79" i="5"/>
  <c r="G107" i="5" s="1"/>
  <c r="F76" i="5"/>
  <c r="F104" i="5" s="1"/>
  <c r="B70" i="5"/>
  <c r="B71" i="5" s="1"/>
  <c r="F72" i="5"/>
  <c r="A78" i="5"/>
  <c r="A73" i="5"/>
  <c r="C73" i="5" s="1"/>
  <c r="C101" i="5" s="1"/>
  <c r="A80" i="5"/>
  <c r="I80" i="5" s="1"/>
  <c r="K70" i="5"/>
  <c r="K79" i="5" s="1"/>
  <c r="C72" i="5"/>
  <c r="C100" i="5" s="1"/>
  <c r="F79" i="5"/>
  <c r="F129" i="5" s="1"/>
  <c r="A74" i="5"/>
  <c r="E70" i="5"/>
  <c r="F77" i="5"/>
  <c r="G127" i="5"/>
  <c r="G126" i="5"/>
  <c r="F125" i="5"/>
  <c r="G122" i="5"/>
  <c r="I75" i="5"/>
  <c r="I103" i="5" s="1"/>
  <c r="I76" i="5"/>
  <c r="I104" i="5" s="1"/>
  <c r="I77" i="5"/>
  <c r="I105" i="5" s="1"/>
  <c r="I79" i="5"/>
  <c r="I71" i="5"/>
  <c r="I99" i="5" s="1"/>
  <c r="I72" i="5"/>
  <c r="I100" i="5" s="1"/>
  <c r="J76" i="5"/>
  <c r="J104" i="5" s="1"/>
  <c r="J77" i="5"/>
  <c r="J105" i="5" s="1"/>
  <c r="J79" i="5"/>
  <c r="J71" i="5"/>
  <c r="J99" i="5" s="1"/>
  <c r="J72" i="5"/>
  <c r="J100" i="5" s="1"/>
  <c r="J75" i="5"/>
  <c r="J103" i="5" s="1"/>
  <c r="B144" i="5"/>
  <c r="B11" i="5"/>
  <c r="B13" i="5" s="1"/>
  <c r="D71" i="5"/>
  <c r="D99" i="5" s="1"/>
  <c r="D72" i="5"/>
  <c r="D100" i="5" s="1"/>
  <c r="D75" i="5"/>
  <c r="D103" i="5" s="1"/>
  <c r="D76" i="5"/>
  <c r="D104" i="5" s="1"/>
  <c r="D77" i="5"/>
  <c r="D105" i="5" s="1"/>
  <c r="D79" i="5"/>
  <c r="K100" i="4"/>
  <c r="J26" i="4"/>
  <c r="F100" i="4"/>
  <c r="G100" i="4"/>
  <c r="E26" i="4"/>
  <c r="E28" i="4" s="1"/>
  <c r="E29" i="4" s="1"/>
  <c r="A72" i="4" s="1"/>
  <c r="F26" i="4"/>
  <c r="F28" i="4" s="1"/>
  <c r="F29" i="4" s="1"/>
  <c r="I100" i="4"/>
  <c r="B100" i="4"/>
  <c r="D100" i="4"/>
  <c r="H100" i="4"/>
  <c r="C100" i="4"/>
  <c r="J100" i="4"/>
  <c r="D28" i="4"/>
  <c r="D29" i="4" s="1"/>
  <c r="A71" i="4" s="1"/>
  <c r="J28" i="4"/>
  <c r="J29" i="4" s="1"/>
  <c r="J68" i="4" s="1"/>
  <c r="C26" i="4"/>
  <c r="B26" i="4"/>
  <c r="B28" i="4" s="1"/>
  <c r="B29" i="4" s="1"/>
  <c r="K26" i="4"/>
  <c r="K28" i="4" s="1"/>
  <c r="K29" i="4" s="1"/>
  <c r="I26" i="4"/>
  <c r="I28" i="4" s="1"/>
  <c r="I29" i="4" s="1"/>
  <c r="H26" i="4"/>
  <c r="H28" i="4" s="1"/>
  <c r="H29" i="4" s="1"/>
  <c r="G26" i="4"/>
  <c r="G28" i="4" s="1"/>
  <c r="G29" i="4" s="1"/>
  <c r="F7" i="4"/>
  <c r="F8" i="4"/>
  <c r="A10" i="3"/>
  <c r="H74" i="5" l="1"/>
  <c r="H102" i="5" s="1"/>
  <c r="G129" i="5"/>
  <c r="H75" i="5"/>
  <c r="H103" i="5" s="1"/>
  <c r="H72" i="5"/>
  <c r="H100" i="5" s="1"/>
  <c r="F107" i="5"/>
  <c r="H79" i="5"/>
  <c r="H107" i="5" s="1"/>
  <c r="G125" i="5"/>
  <c r="H77" i="5"/>
  <c r="H105" i="5" s="1"/>
  <c r="C127" i="5"/>
  <c r="H71" i="5"/>
  <c r="H99" i="5" s="1"/>
  <c r="D73" i="5"/>
  <c r="D101" i="5" s="1"/>
  <c r="G73" i="5"/>
  <c r="G101" i="5" s="1"/>
  <c r="J80" i="5"/>
  <c r="J130" i="5" s="1"/>
  <c r="C123" i="5"/>
  <c r="C80" i="5"/>
  <c r="H80" i="5"/>
  <c r="H108" i="5" s="1"/>
  <c r="A84" i="5"/>
  <c r="K84" i="5" s="1"/>
  <c r="B83" i="5"/>
  <c r="A85" i="5"/>
  <c r="E85" i="5" s="1"/>
  <c r="C83" i="5"/>
  <c r="C107" i="5"/>
  <c r="D80" i="5"/>
  <c r="D130" i="5" s="1"/>
  <c r="K77" i="5"/>
  <c r="K127" i="5" s="1"/>
  <c r="C121" i="5"/>
  <c r="K72" i="5"/>
  <c r="K122" i="5" s="1"/>
  <c r="K129" i="5"/>
  <c r="K107" i="5"/>
  <c r="B99" i="5"/>
  <c r="B121" i="5"/>
  <c r="H73" i="5"/>
  <c r="H123" i="5" s="1"/>
  <c r="E73" i="5"/>
  <c r="E101" i="5" s="1"/>
  <c r="F99" i="5"/>
  <c r="F73" i="5"/>
  <c r="B75" i="5"/>
  <c r="B72" i="5"/>
  <c r="F100" i="5"/>
  <c r="F126" i="5"/>
  <c r="E79" i="5"/>
  <c r="E107" i="5" s="1"/>
  <c r="B80" i="5"/>
  <c r="G99" i="5"/>
  <c r="B78" i="5"/>
  <c r="B106" i="5" s="1"/>
  <c r="B76" i="5"/>
  <c r="B73" i="5"/>
  <c r="I73" i="5"/>
  <c r="E77" i="5"/>
  <c r="E105" i="5" s="1"/>
  <c r="B77" i="5"/>
  <c r="B74" i="5"/>
  <c r="C122" i="5"/>
  <c r="C125" i="5"/>
  <c r="C126" i="5"/>
  <c r="F127" i="5"/>
  <c r="F105" i="5"/>
  <c r="J73" i="5"/>
  <c r="J123" i="5" s="1"/>
  <c r="F122" i="5"/>
  <c r="B79" i="5"/>
  <c r="B129" i="5" s="1"/>
  <c r="F121" i="5"/>
  <c r="K73" i="5"/>
  <c r="F78" i="5"/>
  <c r="G78" i="5"/>
  <c r="I78" i="5"/>
  <c r="I106" i="5" s="1"/>
  <c r="C78" i="5"/>
  <c r="C106" i="5" s="1"/>
  <c r="H78" i="5"/>
  <c r="D78" i="5"/>
  <c r="D106" i="5" s="1"/>
  <c r="J78" i="5"/>
  <c r="J106" i="5" s="1"/>
  <c r="G74" i="5"/>
  <c r="F74" i="5"/>
  <c r="C74" i="5"/>
  <c r="I74" i="5"/>
  <c r="K80" i="5"/>
  <c r="K71" i="5"/>
  <c r="K99" i="5" s="1"/>
  <c r="K76" i="5"/>
  <c r="K104" i="5" s="1"/>
  <c r="K75" i="5"/>
  <c r="K103" i="5" s="1"/>
  <c r="K74" i="5"/>
  <c r="K102" i="5" s="1"/>
  <c r="F80" i="5"/>
  <c r="G80" i="5"/>
  <c r="J74" i="5"/>
  <c r="K78" i="5"/>
  <c r="K106" i="5" s="1"/>
  <c r="D74" i="5"/>
  <c r="D124" i="5" s="1"/>
  <c r="E74" i="5"/>
  <c r="E102" i="5" s="1"/>
  <c r="E76" i="5"/>
  <c r="E104" i="5" s="1"/>
  <c r="E75" i="5"/>
  <c r="E103" i="5" s="1"/>
  <c r="E78" i="5"/>
  <c r="E106" i="5" s="1"/>
  <c r="E80" i="5"/>
  <c r="E71" i="5"/>
  <c r="E99" i="5" s="1"/>
  <c r="E72" i="5"/>
  <c r="E100" i="5" s="1"/>
  <c r="J125" i="5"/>
  <c r="D121" i="5"/>
  <c r="H126" i="5"/>
  <c r="J121" i="5"/>
  <c r="D129" i="5"/>
  <c r="D107" i="5"/>
  <c r="J129" i="5"/>
  <c r="J107" i="5"/>
  <c r="I122" i="5"/>
  <c r="D127" i="5"/>
  <c r="D126" i="5"/>
  <c r="J126" i="5"/>
  <c r="J127" i="5"/>
  <c r="H129" i="5"/>
  <c r="I130" i="5"/>
  <c r="I108" i="5"/>
  <c r="I121" i="5"/>
  <c r="D125" i="5"/>
  <c r="I129" i="5"/>
  <c r="I107" i="5"/>
  <c r="H127" i="5"/>
  <c r="I127" i="5"/>
  <c r="D122" i="5"/>
  <c r="J122" i="5"/>
  <c r="I126" i="5"/>
  <c r="I125" i="5"/>
  <c r="D68" i="4"/>
  <c r="D69" i="4" s="1"/>
  <c r="D85" i="4" s="1"/>
  <c r="E68" i="4"/>
  <c r="E72" i="4" s="1"/>
  <c r="E88" i="4" s="1"/>
  <c r="C27" i="4"/>
  <c r="C29" i="4" s="1"/>
  <c r="B107" i="4"/>
  <c r="B110" i="4" s="1"/>
  <c r="B11" i="4" s="1"/>
  <c r="A77" i="4"/>
  <c r="A74" i="4"/>
  <c r="G68" i="4"/>
  <c r="I68" i="4"/>
  <c r="A76" i="4"/>
  <c r="H68" i="4"/>
  <c r="A75" i="4"/>
  <c r="J75" i="4" s="1"/>
  <c r="J91" i="4" s="1"/>
  <c r="A69" i="4"/>
  <c r="J69" i="4" s="1"/>
  <c r="J85" i="4" s="1"/>
  <c r="B68" i="4"/>
  <c r="K68" i="4"/>
  <c r="A78" i="4"/>
  <c r="A73" i="4"/>
  <c r="F68" i="4"/>
  <c r="J71" i="4"/>
  <c r="J87" i="4" s="1"/>
  <c r="J72" i="4"/>
  <c r="J88" i="4" s="1"/>
  <c r="K34" i="3"/>
  <c r="J34" i="3"/>
  <c r="I34" i="3"/>
  <c r="H34" i="3"/>
  <c r="G34" i="3"/>
  <c r="F34" i="3"/>
  <c r="E34" i="3"/>
  <c r="D34" i="3"/>
  <c r="C34" i="3"/>
  <c r="B34" i="3"/>
  <c r="H124" i="5" l="1"/>
  <c r="H125" i="5"/>
  <c r="H121" i="5"/>
  <c r="E123" i="5"/>
  <c r="D108" i="5"/>
  <c r="H122" i="5"/>
  <c r="J108" i="5"/>
  <c r="K85" i="5"/>
  <c r="H130" i="5"/>
  <c r="E127" i="5"/>
  <c r="G123" i="5"/>
  <c r="K105" i="5"/>
  <c r="D123" i="5"/>
  <c r="K100" i="5"/>
  <c r="C108" i="5"/>
  <c r="C130" i="5"/>
  <c r="J128" i="5"/>
  <c r="F84" i="5"/>
  <c r="G84" i="5"/>
  <c r="J84" i="5"/>
  <c r="C84" i="5"/>
  <c r="H84" i="5"/>
  <c r="D84" i="5"/>
  <c r="I84" i="5"/>
  <c r="C128" i="5"/>
  <c r="B84" i="5"/>
  <c r="E84" i="5"/>
  <c r="B128" i="5"/>
  <c r="F85" i="5"/>
  <c r="G85" i="5"/>
  <c r="D85" i="5"/>
  <c r="J85" i="5"/>
  <c r="I85" i="5"/>
  <c r="C85" i="5"/>
  <c r="H85" i="5"/>
  <c r="B85" i="5"/>
  <c r="G86" i="5"/>
  <c r="F86" i="5"/>
  <c r="C86" i="5"/>
  <c r="D86" i="5"/>
  <c r="J86" i="5"/>
  <c r="G128" i="5"/>
  <c r="G106" i="5"/>
  <c r="F128" i="5"/>
  <c r="F106" i="5"/>
  <c r="K101" i="5"/>
  <c r="K123" i="5"/>
  <c r="B127" i="5"/>
  <c r="B105" i="5"/>
  <c r="F101" i="5"/>
  <c r="F123" i="5"/>
  <c r="C102" i="5"/>
  <c r="J124" i="5"/>
  <c r="J131" i="5" s="1"/>
  <c r="J102" i="5"/>
  <c r="I101" i="5"/>
  <c r="I123" i="5"/>
  <c r="B107" i="5"/>
  <c r="G102" i="5"/>
  <c r="J101" i="5"/>
  <c r="B123" i="5"/>
  <c r="B101" i="5"/>
  <c r="D102" i="5"/>
  <c r="F102" i="5"/>
  <c r="B126" i="5"/>
  <c r="B104" i="5"/>
  <c r="H101" i="5"/>
  <c r="B130" i="5"/>
  <c r="B108" i="5"/>
  <c r="I124" i="5"/>
  <c r="I102" i="5"/>
  <c r="B102" i="5"/>
  <c r="B124" i="5"/>
  <c r="E129" i="5"/>
  <c r="I128" i="5"/>
  <c r="B100" i="5"/>
  <c r="B122" i="5"/>
  <c r="H128" i="5"/>
  <c r="H106" i="5"/>
  <c r="D128" i="5"/>
  <c r="B103" i="5"/>
  <c r="B125" i="5"/>
  <c r="K108" i="5"/>
  <c r="K130" i="5"/>
  <c r="E124" i="5"/>
  <c r="C124" i="5"/>
  <c r="K121" i="5"/>
  <c r="E126" i="5"/>
  <c r="K128" i="5"/>
  <c r="G108" i="5"/>
  <c r="G130" i="5"/>
  <c r="F124" i="5"/>
  <c r="K126" i="5"/>
  <c r="E125" i="5"/>
  <c r="F108" i="5"/>
  <c r="F130" i="5"/>
  <c r="G124" i="5"/>
  <c r="E128" i="5"/>
  <c r="E122" i="5"/>
  <c r="K124" i="5"/>
  <c r="E130" i="5"/>
  <c r="E108" i="5"/>
  <c r="E121" i="5"/>
  <c r="K125" i="5"/>
  <c r="E78" i="4"/>
  <c r="E94" i="4" s="1"/>
  <c r="E69" i="4"/>
  <c r="E85" i="4" s="1"/>
  <c r="E71" i="4"/>
  <c r="E87" i="4" s="1"/>
  <c r="D72" i="4"/>
  <c r="D88" i="4" s="1"/>
  <c r="D76" i="4"/>
  <c r="D92" i="4" s="1"/>
  <c r="D71" i="4"/>
  <c r="D87" i="4" s="1"/>
  <c r="D74" i="4"/>
  <c r="D90" i="4" s="1"/>
  <c r="E77" i="4"/>
  <c r="E93" i="4" s="1"/>
  <c r="E73" i="4"/>
  <c r="E89" i="4" s="1"/>
  <c r="A70" i="4"/>
  <c r="E70" i="4" s="1"/>
  <c r="E86" i="4" s="1"/>
  <c r="C68" i="4"/>
  <c r="C76" i="4" s="1"/>
  <c r="C92" i="4" s="1"/>
  <c r="D75" i="4"/>
  <c r="D91" i="4" s="1"/>
  <c r="J74" i="4"/>
  <c r="J90" i="4" s="1"/>
  <c r="D73" i="4"/>
  <c r="D89" i="4" s="1"/>
  <c r="J77" i="4"/>
  <c r="J93" i="4" s="1"/>
  <c r="D77" i="4"/>
  <c r="D93" i="4" s="1"/>
  <c r="E75" i="4"/>
  <c r="E91" i="4" s="1"/>
  <c r="D78" i="4"/>
  <c r="D94" i="4" s="1"/>
  <c r="J78" i="4"/>
  <c r="J94" i="4" s="1"/>
  <c r="E76" i="4"/>
  <c r="E92" i="4" s="1"/>
  <c r="E74" i="4"/>
  <c r="E90" i="4" s="1"/>
  <c r="J76" i="4"/>
  <c r="J92" i="4" s="1"/>
  <c r="J73" i="4"/>
  <c r="J89" i="4" s="1"/>
  <c r="I78" i="4"/>
  <c r="I94" i="4" s="1"/>
  <c r="I69" i="4"/>
  <c r="I85" i="4" s="1"/>
  <c r="I72" i="4"/>
  <c r="I88" i="4" s="1"/>
  <c r="I73" i="4"/>
  <c r="I89" i="4" s="1"/>
  <c r="I74" i="4"/>
  <c r="I90" i="4" s="1"/>
  <c r="I75" i="4"/>
  <c r="I91" i="4" s="1"/>
  <c r="I76" i="4"/>
  <c r="I92" i="4" s="1"/>
  <c r="I71" i="4"/>
  <c r="I87" i="4" s="1"/>
  <c r="I77" i="4"/>
  <c r="I93" i="4" s="1"/>
  <c r="F75" i="4"/>
  <c r="F91" i="4" s="1"/>
  <c r="F78" i="4"/>
  <c r="F94" i="4" s="1"/>
  <c r="F76" i="4"/>
  <c r="F92" i="4" s="1"/>
  <c r="F77" i="4"/>
  <c r="F93" i="4" s="1"/>
  <c r="F69" i="4"/>
  <c r="F85" i="4" s="1"/>
  <c r="F71" i="4"/>
  <c r="F87" i="4" s="1"/>
  <c r="F73" i="4"/>
  <c r="F89" i="4" s="1"/>
  <c r="F72" i="4"/>
  <c r="F88" i="4" s="1"/>
  <c r="F74" i="4"/>
  <c r="F90" i="4" s="1"/>
  <c r="G76" i="4"/>
  <c r="G92" i="4" s="1"/>
  <c r="G77" i="4"/>
  <c r="G93" i="4" s="1"/>
  <c r="G78" i="4"/>
  <c r="G94" i="4" s="1"/>
  <c r="G71" i="4"/>
  <c r="G87" i="4" s="1"/>
  <c r="G72" i="4"/>
  <c r="G88" i="4" s="1"/>
  <c r="G69" i="4"/>
  <c r="G85" i="4" s="1"/>
  <c r="G73" i="4"/>
  <c r="G89" i="4" s="1"/>
  <c r="G74" i="4"/>
  <c r="G90" i="4" s="1"/>
  <c r="G75" i="4"/>
  <c r="G91" i="4" s="1"/>
  <c r="B71" i="4"/>
  <c r="B87" i="4" s="1"/>
  <c r="B72" i="4"/>
  <c r="B88" i="4" s="1"/>
  <c r="B73" i="4"/>
  <c r="B89" i="4" s="1"/>
  <c r="B74" i="4"/>
  <c r="B90" i="4" s="1"/>
  <c r="B75" i="4"/>
  <c r="B91" i="4" s="1"/>
  <c r="B77" i="4"/>
  <c r="B93" i="4" s="1"/>
  <c r="B78" i="4"/>
  <c r="B94" i="4" s="1"/>
  <c r="B70" i="4"/>
  <c r="B86" i="4" s="1"/>
  <c r="B76" i="4"/>
  <c r="B92" i="4" s="1"/>
  <c r="B69" i="4"/>
  <c r="B85" i="4" s="1"/>
  <c r="C77" i="4"/>
  <c r="C93" i="4" s="1"/>
  <c r="K71" i="4"/>
  <c r="K87" i="4" s="1"/>
  <c r="K69" i="4"/>
  <c r="K85" i="4" s="1"/>
  <c r="K72" i="4"/>
  <c r="K88" i="4" s="1"/>
  <c r="K74" i="4"/>
  <c r="K90" i="4" s="1"/>
  <c r="K75" i="4"/>
  <c r="K91" i="4" s="1"/>
  <c r="K76" i="4"/>
  <c r="K92" i="4" s="1"/>
  <c r="K73" i="4"/>
  <c r="K89" i="4" s="1"/>
  <c r="K78" i="4"/>
  <c r="K94" i="4" s="1"/>
  <c r="K77" i="4"/>
  <c r="K93" i="4" s="1"/>
  <c r="H77" i="4"/>
  <c r="H93" i="4" s="1"/>
  <c r="H78" i="4"/>
  <c r="H94" i="4" s="1"/>
  <c r="H69" i="4"/>
  <c r="H85" i="4" s="1"/>
  <c r="H71" i="4"/>
  <c r="H87" i="4" s="1"/>
  <c r="H72" i="4"/>
  <c r="H88" i="4" s="1"/>
  <c r="H73" i="4"/>
  <c r="H89" i="4" s="1"/>
  <c r="H70" i="4"/>
  <c r="H86" i="4" s="1"/>
  <c r="H76" i="4"/>
  <c r="H92" i="4" s="1"/>
  <c r="H75" i="4"/>
  <c r="H91" i="4" s="1"/>
  <c r="H74" i="4"/>
  <c r="H90" i="4" s="1"/>
  <c r="H106" i="3"/>
  <c r="A106" i="3"/>
  <c r="K105" i="3"/>
  <c r="J105" i="3"/>
  <c r="I105" i="3"/>
  <c r="H105" i="3"/>
  <c r="G105" i="3"/>
  <c r="F105" i="3"/>
  <c r="E105" i="3"/>
  <c r="D105" i="3"/>
  <c r="C105" i="3"/>
  <c r="B105" i="3"/>
  <c r="A105" i="3"/>
  <c r="A101" i="3"/>
  <c r="A100" i="3"/>
  <c r="A99" i="3"/>
  <c r="A98" i="3"/>
  <c r="A97" i="3"/>
  <c r="A96" i="3"/>
  <c r="A95" i="3"/>
  <c r="A94" i="3"/>
  <c r="A93" i="3"/>
  <c r="A92" i="3"/>
  <c r="K91" i="3"/>
  <c r="J91" i="3"/>
  <c r="I91" i="3"/>
  <c r="H91" i="3"/>
  <c r="G91" i="3"/>
  <c r="F91" i="3"/>
  <c r="E91" i="3"/>
  <c r="D91" i="3"/>
  <c r="C91" i="3"/>
  <c r="B91" i="3"/>
  <c r="K106" i="3"/>
  <c r="J106" i="3"/>
  <c r="I106" i="3"/>
  <c r="G106" i="3"/>
  <c r="F106" i="3"/>
  <c r="E106" i="3"/>
  <c r="D106" i="3"/>
  <c r="C106" i="3"/>
  <c r="B106" i="3"/>
  <c r="L27" i="3"/>
  <c r="A11" i="3"/>
  <c r="F8" i="3"/>
  <c r="H33" i="3"/>
  <c r="H35" i="3" s="1"/>
  <c r="H36" i="3" s="1"/>
  <c r="K70" i="4" l="1"/>
  <c r="K86" i="4" s="1"/>
  <c r="G70" i="4"/>
  <c r="G86" i="4" s="1"/>
  <c r="C70" i="4"/>
  <c r="C86" i="4" s="1"/>
  <c r="J70" i="4"/>
  <c r="J86" i="4" s="1"/>
  <c r="F70" i="4"/>
  <c r="F86" i="4" s="1"/>
  <c r="H131" i="5"/>
  <c r="C75" i="4"/>
  <c r="C91" i="4" s="1"/>
  <c r="C131" i="5"/>
  <c r="C72" i="4"/>
  <c r="C88" i="4" s="1"/>
  <c r="D70" i="4"/>
  <c r="D86" i="4" s="1"/>
  <c r="D131" i="5"/>
  <c r="G131" i="5"/>
  <c r="B131" i="5"/>
  <c r="I131" i="5"/>
  <c r="K86" i="5"/>
  <c r="E86" i="5"/>
  <c r="B86" i="5"/>
  <c r="E87" i="5" s="1"/>
  <c r="H86" i="5"/>
  <c r="I86" i="5"/>
  <c r="J87" i="5"/>
  <c r="I87" i="5"/>
  <c r="H87" i="5"/>
  <c r="C87" i="5"/>
  <c r="D87" i="5"/>
  <c r="B87" i="5"/>
  <c r="E131" i="5"/>
  <c r="B135" i="5"/>
  <c r="B138" i="5" s="1"/>
  <c r="B10" i="5" s="1"/>
  <c r="F131" i="5"/>
  <c r="K131" i="5"/>
  <c r="C71" i="4"/>
  <c r="C87" i="4" s="1"/>
  <c r="I70" i="4"/>
  <c r="I86" i="4" s="1"/>
  <c r="C69" i="4"/>
  <c r="C85" i="4" s="1"/>
  <c r="C78" i="4"/>
  <c r="C94" i="4" s="1"/>
  <c r="C74" i="4"/>
  <c r="C90" i="4" s="1"/>
  <c r="C73" i="4"/>
  <c r="C89" i="4" s="1"/>
  <c r="J107" i="3"/>
  <c r="D33" i="3"/>
  <c r="D35" i="3" s="1"/>
  <c r="D36" i="3" s="1"/>
  <c r="E107" i="3"/>
  <c r="F107" i="3"/>
  <c r="K107" i="3"/>
  <c r="B107" i="3"/>
  <c r="C107" i="3"/>
  <c r="I107" i="3"/>
  <c r="H107" i="3"/>
  <c r="D107" i="3"/>
  <c r="G107" i="3"/>
  <c r="H75" i="3"/>
  <c r="A82" i="3"/>
  <c r="I33" i="3"/>
  <c r="I35" i="3" s="1"/>
  <c r="I36" i="3" s="1"/>
  <c r="J33" i="3"/>
  <c r="J35" i="3" s="1"/>
  <c r="J36" i="3" s="1"/>
  <c r="K33" i="3"/>
  <c r="K35" i="3" s="1"/>
  <c r="K36" i="3" s="1"/>
  <c r="G33" i="3"/>
  <c r="G35" i="3" s="1"/>
  <c r="G36" i="3" s="1"/>
  <c r="B33" i="3"/>
  <c r="B35" i="3" s="1"/>
  <c r="B36" i="3" s="1"/>
  <c r="C33" i="3"/>
  <c r="C35" i="3" s="1"/>
  <c r="C36" i="3" s="1"/>
  <c r="F7" i="3"/>
  <c r="F33" i="3"/>
  <c r="F35" i="3" s="1"/>
  <c r="F36" i="3" s="1"/>
  <c r="E33" i="3"/>
  <c r="E35" i="3" s="1"/>
  <c r="E36" i="3" s="1"/>
  <c r="B106" i="4" l="1"/>
  <c r="B109" i="4" s="1"/>
  <c r="B10" i="4" s="1"/>
  <c r="F87" i="5"/>
  <c r="G87" i="5"/>
  <c r="K87" i="5"/>
  <c r="G88" i="5"/>
  <c r="F88" i="5"/>
  <c r="I88" i="5"/>
  <c r="J88" i="5"/>
  <c r="D88" i="5"/>
  <c r="H88" i="5"/>
  <c r="C88" i="5"/>
  <c r="B88" i="5"/>
  <c r="E88" i="5"/>
  <c r="K88" i="5"/>
  <c r="B145" i="5"/>
  <c r="G136" i="5" s="1"/>
  <c r="H152" i="5" s="1"/>
  <c r="L119" i="5"/>
  <c r="B146" i="5"/>
  <c r="D75" i="3"/>
  <c r="D82" i="3" s="1"/>
  <c r="B117" i="4"/>
  <c r="A78" i="3"/>
  <c r="B129" i="3"/>
  <c r="C75" i="3"/>
  <c r="A77" i="3"/>
  <c r="A84" i="3"/>
  <c r="J75" i="3"/>
  <c r="A80" i="3"/>
  <c r="H80" i="3" s="1"/>
  <c r="F75" i="3"/>
  <c r="A76" i="3"/>
  <c r="H76" i="3" s="1"/>
  <c r="B75" i="3"/>
  <c r="A81" i="3"/>
  <c r="G75" i="3"/>
  <c r="I75" i="3"/>
  <c r="A83" i="3"/>
  <c r="A85" i="3"/>
  <c r="H85" i="3" s="1"/>
  <c r="K75" i="3"/>
  <c r="A79" i="3"/>
  <c r="E75" i="3"/>
  <c r="H82" i="3"/>
  <c r="F9" i="1"/>
  <c r="L21" i="1"/>
  <c r="F8" i="1"/>
  <c r="A11" i="1"/>
  <c r="A12" i="1"/>
  <c r="B116" i="4" l="1"/>
  <c r="G108" i="4" s="1"/>
  <c r="G137" i="5"/>
  <c r="G138" i="5" s="1"/>
  <c r="B152" i="5" s="1"/>
  <c r="G89" i="5"/>
  <c r="F89" i="5"/>
  <c r="I89" i="5"/>
  <c r="J89" i="5"/>
  <c r="C89" i="5"/>
  <c r="D89" i="5"/>
  <c r="H89" i="5"/>
  <c r="K89" i="5"/>
  <c r="E89" i="5"/>
  <c r="B89" i="5"/>
  <c r="B76" i="3"/>
  <c r="B114" i="3" s="1"/>
  <c r="D98" i="3"/>
  <c r="D120" i="3"/>
  <c r="H96" i="3"/>
  <c r="H118" i="3"/>
  <c r="H92" i="3"/>
  <c r="H114" i="3"/>
  <c r="H98" i="3"/>
  <c r="H120" i="3"/>
  <c r="H101" i="3"/>
  <c r="H123" i="3"/>
  <c r="B132" i="3"/>
  <c r="B11" i="3" s="1"/>
  <c r="D77" i="3"/>
  <c r="D79" i="3"/>
  <c r="D84" i="3"/>
  <c r="D83" i="3"/>
  <c r="D81" i="3"/>
  <c r="D78" i="3"/>
  <c r="G107" i="4"/>
  <c r="H123" i="4" s="1"/>
  <c r="H78" i="3"/>
  <c r="D76" i="3"/>
  <c r="H81" i="3"/>
  <c r="H77" i="3"/>
  <c r="H84" i="3"/>
  <c r="H79" i="3"/>
  <c r="G78" i="3"/>
  <c r="G79" i="3"/>
  <c r="G80" i="3"/>
  <c r="G81" i="3"/>
  <c r="G82" i="3"/>
  <c r="G83" i="3"/>
  <c r="G84" i="3"/>
  <c r="G85" i="3"/>
  <c r="G77" i="3"/>
  <c r="G76" i="3"/>
  <c r="C78" i="3"/>
  <c r="C76" i="3"/>
  <c r="C77" i="3"/>
  <c r="C79" i="3"/>
  <c r="C80" i="3"/>
  <c r="C82" i="3"/>
  <c r="C81" i="3"/>
  <c r="C83" i="3"/>
  <c r="C85" i="3"/>
  <c r="C84" i="3"/>
  <c r="D85" i="3"/>
  <c r="B85" i="3"/>
  <c r="B78" i="3"/>
  <c r="B81" i="3"/>
  <c r="B79" i="3"/>
  <c r="B77" i="3"/>
  <c r="B80" i="3"/>
  <c r="B82" i="3"/>
  <c r="B83" i="3"/>
  <c r="B84" i="3"/>
  <c r="H83" i="3"/>
  <c r="D80" i="3"/>
  <c r="I80" i="3"/>
  <c r="I81" i="3"/>
  <c r="I82" i="3"/>
  <c r="I83" i="3"/>
  <c r="I84" i="3"/>
  <c r="I85" i="3"/>
  <c r="I76" i="3"/>
  <c r="I77" i="3"/>
  <c r="I79" i="3"/>
  <c r="I78" i="3"/>
  <c r="F77" i="3"/>
  <c r="F78" i="3"/>
  <c r="F79" i="3"/>
  <c r="F80" i="3"/>
  <c r="F81" i="3"/>
  <c r="F82" i="3"/>
  <c r="F83" i="3"/>
  <c r="F84" i="3"/>
  <c r="F85" i="3"/>
  <c r="F76" i="3"/>
  <c r="E76" i="3"/>
  <c r="E77" i="3"/>
  <c r="E78" i="3"/>
  <c r="E79" i="3"/>
  <c r="E80" i="3"/>
  <c r="E81" i="3"/>
  <c r="E82" i="3"/>
  <c r="E84" i="3"/>
  <c r="E83" i="3"/>
  <c r="E85" i="3"/>
  <c r="J81" i="3"/>
  <c r="J82" i="3"/>
  <c r="J83" i="3"/>
  <c r="J84" i="3"/>
  <c r="J85" i="3"/>
  <c r="J77" i="3"/>
  <c r="J76" i="3"/>
  <c r="J78" i="3"/>
  <c r="J79" i="3"/>
  <c r="J80" i="3"/>
  <c r="K82" i="3"/>
  <c r="K83" i="3"/>
  <c r="K84" i="3"/>
  <c r="K85" i="3"/>
  <c r="K76" i="3"/>
  <c r="K77" i="3"/>
  <c r="K78" i="3"/>
  <c r="K79" i="3"/>
  <c r="K80" i="3"/>
  <c r="K81" i="3"/>
  <c r="A100" i="1"/>
  <c r="A99" i="1"/>
  <c r="B99" i="1"/>
  <c r="C99" i="1"/>
  <c r="D99" i="1"/>
  <c r="E99" i="1"/>
  <c r="F99" i="1"/>
  <c r="G99" i="1"/>
  <c r="H99" i="1"/>
  <c r="I99" i="1"/>
  <c r="J99" i="1"/>
  <c r="K99" i="1"/>
  <c r="A95" i="1"/>
  <c r="A94" i="1"/>
  <c r="A93" i="1"/>
  <c r="A92" i="1"/>
  <c r="A91" i="1"/>
  <c r="A90" i="1"/>
  <c r="A89" i="1"/>
  <c r="A88" i="1"/>
  <c r="A87" i="1"/>
  <c r="A86" i="1"/>
  <c r="B85" i="1"/>
  <c r="C85" i="1"/>
  <c r="D85" i="1"/>
  <c r="E85" i="1"/>
  <c r="F85" i="1"/>
  <c r="G85" i="1"/>
  <c r="H85" i="1"/>
  <c r="I85" i="1"/>
  <c r="J85" i="1"/>
  <c r="K85" i="1"/>
  <c r="C27" i="1"/>
  <c r="D27" i="1"/>
  <c r="E27" i="1"/>
  <c r="F27" i="1"/>
  <c r="G27" i="1"/>
  <c r="H27" i="1"/>
  <c r="I27" i="1"/>
  <c r="J27" i="1"/>
  <c r="K27" i="1"/>
  <c r="B27" i="1"/>
  <c r="C26" i="1"/>
  <c r="C100" i="1" s="1"/>
  <c r="D26" i="1"/>
  <c r="D100" i="1" s="1"/>
  <c r="E26" i="1"/>
  <c r="E100" i="1" s="1"/>
  <c r="F26" i="1"/>
  <c r="F100" i="1" s="1"/>
  <c r="G26" i="1"/>
  <c r="G100" i="1" s="1"/>
  <c r="H26" i="1"/>
  <c r="H100" i="1" s="1"/>
  <c r="I26" i="1"/>
  <c r="I100" i="1" s="1"/>
  <c r="J26" i="1"/>
  <c r="J100" i="1" s="1"/>
  <c r="K26" i="1"/>
  <c r="K100" i="1" s="1"/>
  <c r="B26" i="1"/>
  <c r="B100" i="1" s="1"/>
  <c r="H153" i="5" l="1"/>
  <c r="H155" i="5" s="1"/>
  <c r="H156" i="5" s="1"/>
  <c r="K155" i="5" s="1"/>
  <c r="G11" i="5" s="1"/>
  <c r="H11" i="5" s="1"/>
  <c r="B153" i="5"/>
  <c r="B155" i="5" s="1"/>
  <c r="G12" i="5" s="1"/>
  <c r="I12" i="5" s="1"/>
  <c r="J12" i="5" s="1"/>
  <c r="H90" i="5"/>
  <c r="G90" i="5"/>
  <c r="K90" i="5"/>
  <c r="C90" i="5"/>
  <c r="J90" i="5"/>
  <c r="B90" i="5"/>
  <c r="D90" i="5"/>
  <c r="F90" i="5"/>
  <c r="I90" i="5"/>
  <c r="E90" i="5"/>
  <c r="B92" i="3"/>
  <c r="B137" i="3"/>
  <c r="E95" i="3"/>
  <c r="E117" i="3"/>
  <c r="H97" i="3"/>
  <c r="H119" i="3"/>
  <c r="E94" i="3"/>
  <c r="E116" i="3"/>
  <c r="G101" i="3"/>
  <c r="G123" i="3"/>
  <c r="K93" i="3"/>
  <c r="K115" i="3"/>
  <c r="E93" i="3"/>
  <c r="E115" i="3"/>
  <c r="I94" i="3"/>
  <c r="I116" i="3"/>
  <c r="B100" i="3"/>
  <c r="B122" i="3"/>
  <c r="G100" i="3"/>
  <c r="G122" i="3"/>
  <c r="K92" i="3"/>
  <c r="K114" i="3"/>
  <c r="J99" i="3"/>
  <c r="J121" i="3"/>
  <c r="E92" i="3"/>
  <c r="E114" i="3"/>
  <c r="I95" i="3"/>
  <c r="I117" i="3"/>
  <c r="B99" i="3"/>
  <c r="B121" i="3"/>
  <c r="C99" i="3"/>
  <c r="C121" i="3"/>
  <c r="G99" i="3"/>
  <c r="G121" i="3"/>
  <c r="H94" i="3"/>
  <c r="H116" i="3"/>
  <c r="D99" i="3"/>
  <c r="D121" i="3"/>
  <c r="F94" i="3"/>
  <c r="F116" i="3"/>
  <c r="D96" i="3"/>
  <c r="D118" i="3"/>
  <c r="K94" i="3"/>
  <c r="K116" i="3"/>
  <c r="H99" i="3"/>
  <c r="H121" i="3"/>
  <c r="D92" i="3"/>
  <c r="D114" i="3"/>
  <c r="F92" i="3"/>
  <c r="F114" i="3"/>
  <c r="G98" i="3"/>
  <c r="G120" i="3"/>
  <c r="K95" i="3"/>
  <c r="K117" i="3"/>
  <c r="G93" i="3"/>
  <c r="G115" i="3"/>
  <c r="J101" i="3"/>
  <c r="J123" i="3"/>
  <c r="K101" i="3"/>
  <c r="K123" i="3"/>
  <c r="J98" i="3"/>
  <c r="J120" i="3"/>
  <c r="I93" i="3"/>
  <c r="I115" i="3"/>
  <c r="B98" i="3"/>
  <c r="B120" i="3"/>
  <c r="C97" i="3"/>
  <c r="C119" i="3"/>
  <c r="D100" i="3"/>
  <c r="D122" i="3"/>
  <c r="K100" i="3"/>
  <c r="K122" i="3"/>
  <c r="J97" i="3"/>
  <c r="J119" i="3"/>
  <c r="F101" i="3"/>
  <c r="F123" i="3"/>
  <c r="I92" i="3"/>
  <c r="I114" i="3"/>
  <c r="B96" i="3"/>
  <c r="B118" i="3"/>
  <c r="C98" i="3"/>
  <c r="C120" i="3"/>
  <c r="G97" i="3"/>
  <c r="G119" i="3"/>
  <c r="D95" i="3"/>
  <c r="D117" i="3"/>
  <c r="I101" i="3"/>
  <c r="I123" i="3"/>
  <c r="D93" i="3"/>
  <c r="D115" i="3"/>
  <c r="E96" i="3"/>
  <c r="E118" i="3"/>
  <c r="K99" i="3"/>
  <c r="K121" i="3"/>
  <c r="B101" i="3"/>
  <c r="B123" i="3"/>
  <c r="F100" i="3"/>
  <c r="F122" i="3"/>
  <c r="B93" i="3"/>
  <c r="B115" i="3"/>
  <c r="G96" i="3"/>
  <c r="G118" i="3"/>
  <c r="K98" i="3"/>
  <c r="K120" i="3"/>
  <c r="E99" i="3"/>
  <c r="E121" i="3"/>
  <c r="F99" i="3"/>
  <c r="F121" i="3"/>
  <c r="I100" i="3"/>
  <c r="I122" i="3"/>
  <c r="B95" i="3"/>
  <c r="B117" i="3"/>
  <c r="C95" i="3"/>
  <c r="C117" i="3"/>
  <c r="G95" i="3"/>
  <c r="G117" i="3"/>
  <c r="J96" i="3"/>
  <c r="J118" i="3"/>
  <c r="E100" i="3"/>
  <c r="E122" i="3"/>
  <c r="F98" i="3"/>
  <c r="F120" i="3"/>
  <c r="I99" i="3"/>
  <c r="I121" i="3"/>
  <c r="B97" i="3"/>
  <c r="B119" i="3"/>
  <c r="C93" i="3"/>
  <c r="C115" i="3"/>
  <c r="G94" i="3"/>
  <c r="G116" i="3"/>
  <c r="D94" i="3"/>
  <c r="D116" i="3"/>
  <c r="I96" i="3"/>
  <c r="I118" i="3"/>
  <c r="E98" i="3"/>
  <c r="E120" i="3"/>
  <c r="F95" i="3"/>
  <c r="F117" i="3"/>
  <c r="E101" i="3"/>
  <c r="E123" i="3"/>
  <c r="C96" i="3"/>
  <c r="C118" i="3"/>
  <c r="J95" i="3"/>
  <c r="J117" i="3"/>
  <c r="F97" i="3"/>
  <c r="F119" i="3"/>
  <c r="I98" i="3"/>
  <c r="I120" i="3"/>
  <c r="B94" i="3"/>
  <c r="B116" i="3"/>
  <c r="C92" i="3"/>
  <c r="C114" i="3"/>
  <c r="H95" i="3"/>
  <c r="H117" i="3"/>
  <c r="K97" i="3"/>
  <c r="K119" i="3"/>
  <c r="J94" i="3"/>
  <c r="J116" i="3"/>
  <c r="E97" i="3"/>
  <c r="E119" i="3"/>
  <c r="F96" i="3"/>
  <c r="F118" i="3"/>
  <c r="I97" i="3"/>
  <c r="I119" i="3"/>
  <c r="C94" i="3"/>
  <c r="C116" i="3"/>
  <c r="H100" i="3"/>
  <c r="H122" i="3"/>
  <c r="K96" i="3"/>
  <c r="K118" i="3"/>
  <c r="G92" i="3"/>
  <c r="G114" i="3"/>
  <c r="H93" i="3"/>
  <c r="H115" i="3"/>
  <c r="J93" i="3"/>
  <c r="J115" i="3"/>
  <c r="D101" i="3"/>
  <c r="D123" i="3"/>
  <c r="J92" i="3"/>
  <c r="J114" i="3"/>
  <c r="C100" i="3"/>
  <c r="C122" i="3"/>
  <c r="F93" i="3"/>
  <c r="F115" i="3"/>
  <c r="D97" i="3"/>
  <c r="D119" i="3"/>
  <c r="J100" i="3"/>
  <c r="J122" i="3"/>
  <c r="C101" i="3"/>
  <c r="C123" i="3"/>
  <c r="H124" i="4"/>
  <c r="H126" i="4" s="1"/>
  <c r="H127" i="4" s="1"/>
  <c r="K125" i="4" s="1"/>
  <c r="G10" i="4" s="1"/>
  <c r="G109" i="4"/>
  <c r="B124" i="4" s="1"/>
  <c r="F101" i="1"/>
  <c r="D29" i="1"/>
  <c r="D30" i="1" s="1"/>
  <c r="A72" i="1" s="1"/>
  <c r="K101" i="1"/>
  <c r="C29" i="1"/>
  <c r="C30" i="1" s="1"/>
  <c r="C69" i="1" s="1"/>
  <c r="J29" i="1"/>
  <c r="J30" i="1" s="1"/>
  <c r="A78" i="1" s="1"/>
  <c r="E29" i="1"/>
  <c r="E30" i="1" s="1"/>
  <c r="E69" i="1" s="1"/>
  <c r="E101" i="1"/>
  <c r="C101" i="1"/>
  <c r="B29" i="1"/>
  <c r="B30" i="1" s="1"/>
  <c r="B69" i="1" s="1"/>
  <c r="K29" i="1"/>
  <c r="K30" i="1" s="1"/>
  <c r="A79" i="1" s="1"/>
  <c r="G101" i="1"/>
  <c r="D101" i="1"/>
  <c r="J101" i="1"/>
  <c r="F29" i="1"/>
  <c r="F30" i="1" s="1"/>
  <c r="F69" i="1" s="1"/>
  <c r="B101" i="1"/>
  <c r="I101" i="1"/>
  <c r="H101" i="1"/>
  <c r="I29" i="1"/>
  <c r="I30" i="1" s="1"/>
  <c r="H29" i="1"/>
  <c r="H30" i="1" s="1"/>
  <c r="G29" i="1"/>
  <c r="G30" i="1" s="1"/>
  <c r="H12" i="5" l="1"/>
  <c r="L12" i="5" s="1"/>
  <c r="K11" i="5"/>
  <c r="L11" i="5"/>
  <c r="K154" i="5"/>
  <c r="G10" i="5" s="1"/>
  <c r="I10" i="5" s="1"/>
  <c r="J10" i="5" s="1"/>
  <c r="I11" i="5"/>
  <c r="J11" i="5" s="1"/>
  <c r="K153" i="5"/>
  <c r="G9" i="5" s="1"/>
  <c r="H9" i="5" s="1"/>
  <c r="G91" i="5"/>
  <c r="H91" i="5"/>
  <c r="J91" i="5"/>
  <c r="I91" i="5"/>
  <c r="E91" i="5"/>
  <c r="K91" i="5"/>
  <c r="F91" i="5"/>
  <c r="C91" i="5"/>
  <c r="D91" i="5"/>
  <c r="B91" i="5"/>
  <c r="J124" i="3"/>
  <c r="H124" i="3"/>
  <c r="C124" i="3"/>
  <c r="B128" i="3"/>
  <c r="B131" i="3" s="1"/>
  <c r="B139" i="3" s="1"/>
  <c r="D124" i="3"/>
  <c r="I124" i="3"/>
  <c r="G124" i="3"/>
  <c r="B124" i="3"/>
  <c r="F124" i="3"/>
  <c r="E124" i="3"/>
  <c r="K124" i="3"/>
  <c r="K126" i="4"/>
  <c r="G11" i="4" s="1"/>
  <c r="I11" i="4" s="1"/>
  <c r="J11" i="4" s="1"/>
  <c r="K124" i="4"/>
  <c r="G9" i="4" s="1"/>
  <c r="H9" i="4" s="1"/>
  <c r="B123" i="4"/>
  <c r="I10" i="4"/>
  <c r="J10" i="4" s="1"/>
  <c r="H10" i="4"/>
  <c r="E72" i="1"/>
  <c r="E88" i="1" s="1"/>
  <c r="A73" i="1"/>
  <c r="E73" i="1" s="1"/>
  <c r="E89" i="1" s="1"/>
  <c r="E78" i="1"/>
  <c r="E94" i="1" s="1"/>
  <c r="D69" i="1"/>
  <c r="D72" i="1" s="1"/>
  <c r="D88" i="1" s="1"/>
  <c r="A70" i="1"/>
  <c r="E70" i="1" s="1"/>
  <c r="E86" i="1" s="1"/>
  <c r="C79" i="1"/>
  <c r="C95" i="1" s="1"/>
  <c r="E79" i="1"/>
  <c r="E95" i="1" s="1"/>
  <c r="C72" i="1"/>
  <c r="C88" i="1" s="1"/>
  <c r="J69" i="1"/>
  <c r="J79" i="1" s="1"/>
  <c r="J95" i="1" s="1"/>
  <c r="K69" i="1"/>
  <c r="K78" i="1" s="1"/>
  <c r="K94" i="1" s="1"/>
  <c r="A71" i="1"/>
  <c r="E71" i="1" s="1"/>
  <c r="E87" i="1" s="1"/>
  <c r="A74" i="1"/>
  <c r="E74" i="1" s="1"/>
  <c r="E90" i="1" s="1"/>
  <c r="C78" i="1"/>
  <c r="C94" i="1" s="1"/>
  <c r="B108" i="1"/>
  <c r="B111" i="1" s="1"/>
  <c r="B12" i="1" s="1"/>
  <c r="A76" i="1"/>
  <c r="H69" i="1"/>
  <c r="A77" i="1"/>
  <c r="B77" i="1" s="1"/>
  <c r="B93" i="1" s="1"/>
  <c r="I69" i="1"/>
  <c r="A75" i="1"/>
  <c r="B75" i="1" s="1"/>
  <c r="B91" i="1" s="1"/>
  <c r="G69" i="1"/>
  <c r="B78" i="1"/>
  <c r="B94" i="1" s="1"/>
  <c r="B72" i="1"/>
  <c r="B88" i="1" s="1"/>
  <c r="B79" i="1"/>
  <c r="B95" i="1" s="1"/>
  <c r="F78" i="1"/>
  <c r="F94" i="1" s="1"/>
  <c r="F79" i="1"/>
  <c r="F95" i="1" s="1"/>
  <c r="F72" i="1"/>
  <c r="F88" i="1" s="1"/>
  <c r="K12" i="5" l="1"/>
  <c r="K9" i="5"/>
  <c r="L9" i="5"/>
  <c r="I9" i="5"/>
  <c r="J9" i="5" s="1"/>
  <c r="H10" i="5"/>
  <c r="E92" i="5"/>
  <c r="G92" i="5"/>
  <c r="B92" i="5"/>
  <c r="D92" i="5"/>
  <c r="C92" i="5"/>
  <c r="I92" i="5"/>
  <c r="K92" i="5"/>
  <c r="F92" i="5"/>
  <c r="H92" i="5"/>
  <c r="J92" i="5"/>
  <c r="B138" i="3"/>
  <c r="G129" i="3" s="1"/>
  <c r="H145" i="3" s="1"/>
  <c r="L124" i="3"/>
  <c r="B10" i="3"/>
  <c r="B126" i="4"/>
  <c r="G13" i="4" s="1"/>
  <c r="H11" i="4"/>
  <c r="I9" i="4"/>
  <c r="J71" i="1"/>
  <c r="J87" i="1" s="1"/>
  <c r="K72" i="1"/>
  <c r="K88" i="1" s="1"/>
  <c r="J78" i="1"/>
  <c r="J94" i="1" s="1"/>
  <c r="F71" i="1"/>
  <c r="F87" i="1" s="1"/>
  <c r="D76" i="1"/>
  <c r="D92" i="1" s="1"/>
  <c r="K73" i="1"/>
  <c r="K89" i="1" s="1"/>
  <c r="B73" i="1"/>
  <c r="B89" i="1" s="1"/>
  <c r="F73" i="1"/>
  <c r="F89" i="1" s="1"/>
  <c r="D73" i="1"/>
  <c r="D89" i="1" s="1"/>
  <c r="C73" i="1"/>
  <c r="C89" i="1" s="1"/>
  <c r="F77" i="1"/>
  <c r="F93" i="1" s="1"/>
  <c r="F70" i="1"/>
  <c r="F86" i="1" s="1"/>
  <c r="D78" i="1"/>
  <c r="D94" i="1" s="1"/>
  <c r="K70" i="1"/>
  <c r="K86" i="1" s="1"/>
  <c r="D70" i="1"/>
  <c r="D86" i="1" s="1"/>
  <c r="B70" i="1"/>
  <c r="B86" i="1" s="1"/>
  <c r="J77" i="1"/>
  <c r="J93" i="1" s="1"/>
  <c r="J70" i="1"/>
  <c r="J86" i="1" s="1"/>
  <c r="D79" i="1"/>
  <c r="D95" i="1" s="1"/>
  <c r="C70" i="1"/>
  <c r="C86" i="1" s="1"/>
  <c r="K75" i="1"/>
  <c r="K91" i="1" s="1"/>
  <c r="J75" i="1"/>
  <c r="J91" i="1" s="1"/>
  <c r="B71" i="1"/>
  <c r="B87" i="1" s="1"/>
  <c r="K76" i="1"/>
  <c r="K92" i="1" s="1"/>
  <c r="K79" i="1"/>
  <c r="K95" i="1" s="1"/>
  <c r="K71" i="1"/>
  <c r="K87" i="1" s="1"/>
  <c r="D75" i="1"/>
  <c r="D91" i="1" s="1"/>
  <c r="K77" i="1"/>
  <c r="K93" i="1" s="1"/>
  <c r="F75" i="1"/>
  <c r="F91" i="1" s="1"/>
  <c r="B76" i="1"/>
  <c r="B92" i="1" s="1"/>
  <c r="F76" i="1"/>
  <c r="F92" i="1" s="1"/>
  <c r="J76" i="1"/>
  <c r="J92" i="1" s="1"/>
  <c r="J72" i="1"/>
  <c r="J88" i="1" s="1"/>
  <c r="J73" i="1"/>
  <c r="J89" i="1" s="1"/>
  <c r="D74" i="1"/>
  <c r="D90" i="1" s="1"/>
  <c r="B74" i="1"/>
  <c r="B90" i="1" s="1"/>
  <c r="F74" i="1"/>
  <c r="F90" i="1" s="1"/>
  <c r="C74" i="1"/>
  <c r="C90" i="1" s="1"/>
  <c r="D71" i="1"/>
  <c r="D87" i="1" s="1"/>
  <c r="C71" i="1"/>
  <c r="C87" i="1" s="1"/>
  <c r="K74" i="1"/>
  <c r="K90" i="1" s="1"/>
  <c r="J74" i="1"/>
  <c r="J90" i="1" s="1"/>
  <c r="D77" i="1"/>
  <c r="D93" i="1" s="1"/>
  <c r="C75" i="1"/>
  <c r="C91" i="1" s="1"/>
  <c r="E75" i="1"/>
  <c r="E91" i="1" s="1"/>
  <c r="E77" i="1"/>
  <c r="E93" i="1" s="1"/>
  <c r="C77" i="1"/>
  <c r="C93" i="1" s="1"/>
  <c r="G74" i="1"/>
  <c r="G90" i="1" s="1"/>
  <c r="G78" i="1"/>
  <c r="G94" i="1" s="1"/>
  <c r="G70" i="1"/>
  <c r="G86" i="1" s="1"/>
  <c r="G72" i="1"/>
  <c r="G88" i="1" s="1"/>
  <c r="G73" i="1"/>
  <c r="G89" i="1" s="1"/>
  <c r="G77" i="1"/>
  <c r="G93" i="1" s="1"/>
  <c r="G76" i="1"/>
  <c r="G92" i="1" s="1"/>
  <c r="G79" i="1"/>
  <c r="G95" i="1" s="1"/>
  <c r="G71" i="1"/>
  <c r="G87" i="1" s="1"/>
  <c r="G75" i="1"/>
  <c r="G91" i="1" s="1"/>
  <c r="H72" i="1"/>
  <c r="H88" i="1" s="1"/>
  <c r="H75" i="1"/>
  <c r="H91" i="1" s="1"/>
  <c r="H74" i="1"/>
  <c r="H90" i="1" s="1"/>
  <c r="H78" i="1"/>
  <c r="H94" i="1" s="1"/>
  <c r="H70" i="1"/>
  <c r="H86" i="1" s="1"/>
  <c r="H79" i="1"/>
  <c r="H95" i="1" s="1"/>
  <c r="H76" i="1"/>
  <c r="H92" i="1" s="1"/>
  <c r="H73" i="1"/>
  <c r="H89" i="1" s="1"/>
  <c r="H77" i="1"/>
  <c r="H93" i="1" s="1"/>
  <c r="H71" i="1"/>
  <c r="H87" i="1" s="1"/>
  <c r="I71" i="1"/>
  <c r="I87" i="1" s="1"/>
  <c r="I75" i="1"/>
  <c r="I91" i="1" s="1"/>
  <c r="I79" i="1"/>
  <c r="I95" i="1" s="1"/>
  <c r="I77" i="1"/>
  <c r="I93" i="1" s="1"/>
  <c r="I72" i="1"/>
  <c r="I88" i="1" s="1"/>
  <c r="I76" i="1"/>
  <c r="I92" i="1" s="1"/>
  <c r="I73" i="1"/>
  <c r="I89" i="1" s="1"/>
  <c r="I74" i="1"/>
  <c r="I90" i="1" s="1"/>
  <c r="I78" i="1"/>
  <c r="I94" i="1" s="1"/>
  <c r="I70" i="1"/>
  <c r="I86" i="1" s="1"/>
  <c r="C76" i="1"/>
  <c r="C92" i="1" s="1"/>
  <c r="E76" i="1"/>
  <c r="E92" i="1" s="1"/>
  <c r="K10" i="5" l="1"/>
  <c r="L10" i="5"/>
  <c r="H93" i="5"/>
  <c r="J93" i="5"/>
  <c r="D93" i="5"/>
  <c r="I93" i="5"/>
  <c r="F93" i="5"/>
  <c r="B93" i="5"/>
  <c r="K93" i="5"/>
  <c r="C93" i="5"/>
  <c r="G93" i="5"/>
  <c r="E93" i="5"/>
  <c r="G130" i="3"/>
  <c r="G131" i="3" s="1"/>
  <c r="B146" i="3" s="1"/>
  <c r="J9" i="4"/>
  <c r="G12" i="4"/>
  <c r="H13" i="4"/>
  <c r="I13" i="4"/>
  <c r="J13" i="4" s="1"/>
  <c r="B107" i="1"/>
  <c r="B110" i="1" s="1"/>
  <c r="B11" i="1" s="1"/>
  <c r="H146" i="3" l="1"/>
  <c r="H148" i="3" s="1"/>
  <c r="H149" i="3" s="1"/>
  <c r="K146" i="3" s="1"/>
  <c r="G9" i="3" s="1"/>
  <c r="H17" i="3" s="1"/>
  <c r="B145" i="3"/>
  <c r="B118" i="1"/>
  <c r="B117" i="1"/>
  <c r="B17" i="3" l="1"/>
  <c r="D17" i="3"/>
  <c r="C17" i="3"/>
  <c r="E17" i="3"/>
  <c r="K17" i="3"/>
  <c r="K147" i="3"/>
  <c r="G10" i="3" s="1"/>
  <c r="H9" i="3"/>
  <c r="J17" i="3"/>
  <c r="I17" i="3"/>
  <c r="G17" i="3"/>
  <c r="I9" i="3"/>
  <c r="J9" i="3" s="1"/>
  <c r="K148" i="3"/>
  <c r="G11" i="3" s="1"/>
  <c r="C19" i="3" s="1"/>
  <c r="L17" i="3"/>
  <c r="F17" i="3"/>
  <c r="B148" i="3"/>
  <c r="G12" i="3" s="1"/>
  <c r="H12" i="3" s="1"/>
  <c r="G108" i="1"/>
  <c r="H124" i="1" s="1"/>
  <c r="G109" i="1"/>
  <c r="H10" i="3" l="1"/>
  <c r="B18" i="3"/>
  <c r="J18" i="3"/>
  <c r="K18" i="3"/>
  <c r="L18" i="3"/>
  <c r="H18" i="3"/>
  <c r="C18" i="3"/>
  <c r="E18" i="3"/>
  <c r="G18" i="3"/>
  <c r="I18" i="3"/>
  <c r="D18" i="3"/>
  <c r="F18" i="3"/>
  <c r="I10" i="3"/>
  <c r="J10" i="3" s="1"/>
  <c r="C20" i="3"/>
  <c r="D19" i="3"/>
  <c r="D20" i="3" s="1"/>
  <c r="B19" i="3"/>
  <c r="H19" i="3"/>
  <c r="H20" i="3" s="1"/>
  <c r="F19" i="3"/>
  <c r="F20" i="3" s="1"/>
  <c r="L19" i="3"/>
  <c r="L20" i="3" s="1"/>
  <c r="G19" i="3"/>
  <c r="G20" i="3" s="1"/>
  <c r="E19" i="3"/>
  <c r="E20" i="3" s="1"/>
  <c r="K19" i="3"/>
  <c r="K20" i="3" s="1"/>
  <c r="I11" i="3"/>
  <c r="J11" i="3" s="1"/>
  <c r="I19" i="3"/>
  <c r="I20" i="3" s="1"/>
  <c r="J19" i="3"/>
  <c r="J20" i="3" s="1"/>
  <c r="H11" i="3"/>
  <c r="I12" i="3"/>
  <c r="J12" i="3" s="1"/>
  <c r="H125" i="1"/>
  <c r="H127" i="1" s="1"/>
  <c r="H128" i="1" s="1"/>
  <c r="K126" i="1" s="1"/>
  <c r="G11" i="1" s="1"/>
  <c r="G110" i="1"/>
  <c r="B124" i="1" s="1"/>
  <c r="K125" i="1" l="1"/>
  <c r="G10" i="1" s="1"/>
  <c r="I10" i="1" s="1"/>
  <c r="J10" i="1" s="1"/>
  <c r="K127" i="1"/>
  <c r="G12" i="1" s="1"/>
  <c r="H11" i="1"/>
  <c r="I11" i="1"/>
  <c r="J11" i="1" s="1"/>
  <c r="B125" i="1"/>
  <c r="B127" i="1" s="1"/>
  <c r="G14" i="1" l="1"/>
  <c r="H14" i="1" s="1"/>
  <c r="H10" i="1"/>
  <c r="H12" i="1"/>
  <c r="I12" i="1"/>
  <c r="J12" i="1" l="1"/>
  <c r="G13" i="1"/>
  <c r="I14" i="1"/>
  <c r="J14" i="1" s="1"/>
</calcChain>
</file>

<file path=xl/sharedStrings.xml><?xml version="1.0" encoding="utf-8"?>
<sst xmlns="http://schemas.openxmlformats.org/spreadsheetml/2006/main" count="551" uniqueCount="203">
  <si>
    <t>K</t>
  </si>
  <si>
    <t>MPa</t>
  </si>
  <si>
    <t>Pure Component Values:</t>
  </si>
  <si>
    <t>Methane</t>
  </si>
  <si>
    <t>Hydrogen</t>
  </si>
  <si>
    <t>H2O</t>
  </si>
  <si>
    <t>CO</t>
  </si>
  <si>
    <t>CO2</t>
  </si>
  <si>
    <t>Argon</t>
  </si>
  <si>
    <t>Nitrogen</t>
  </si>
  <si>
    <t>Oxygen</t>
  </si>
  <si>
    <t>Binary Coefficients</t>
  </si>
  <si>
    <t>Component Name</t>
  </si>
  <si>
    <r>
      <t xml:space="preserve">Component Number, </t>
    </r>
    <r>
      <rPr>
        <i/>
        <sz val="11"/>
        <color theme="1"/>
        <rFont val="Calibri"/>
        <family val="2"/>
        <scheme val="minor"/>
      </rPr>
      <t>i</t>
    </r>
  </si>
  <si>
    <r>
      <t xml:space="preserve">Critical Temperature, </t>
    </r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ci</t>
    </r>
    <r>
      <rPr>
        <sz val="10"/>
        <rFont val="Arial"/>
        <family val="2"/>
      </rPr>
      <t xml:space="preserve"> /K</t>
    </r>
  </si>
  <si>
    <r>
      <t xml:space="preserve">Critical Pressure, </t>
    </r>
    <r>
      <rPr>
        <i/>
        <sz val="11"/>
        <color theme="1"/>
        <rFont val="Calibri"/>
        <family val="2"/>
        <scheme val="minor"/>
      </rPr>
      <t>P</t>
    </r>
    <r>
      <rPr>
        <i/>
        <vertAlign val="subscript"/>
        <sz val="11"/>
        <color theme="1"/>
        <rFont val="Calibri"/>
        <family val="2"/>
        <scheme val="minor"/>
      </rPr>
      <t>ci</t>
    </r>
    <r>
      <rPr>
        <sz val="10"/>
        <rFont val="Arial"/>
        <family val="2"/>
      </rPr>
      <t xml:space="preserve"> /MPa</t>
    </r>
  </si>
  <si>
    <r>
      <t>b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</si>
  <si>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ω</t>
    </r>
    <r>
      <rPr>
        <i/>
        <vertAlign val="subscript"/>
        <sz val="11"/>
        <color theme="1"/>
        <rFont val="Calibri"/>
        <family val="2"/>
      </rPr>
      <t>i</t>
    </r>
  </si>
  <si>
    <r>
      <t>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</si>
  <si>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Ammonia</t>
  </si>
  <si>
    <t>Methanol</t>
  </si>
  <si>
    <t>PROPERTIES OF SELECTED COMPOUNDS</t>
  </si>
  <si>
    <t>Compound</t>
  </si>
  <si>
    <t>Tc(K)</t>
  </si>
  <si>
    <t>Pc(MPa)</t>
  </si>
  <si>
    <t>w</t>
  </si>
  <si>
    <t>Paraffins</t>
  </si>
  <si>
    <t>METHANE</t>
  </si>
  <si>
    <t>ETHANE</t>
  </si>
  <si>
    <t>PROPANE</t>
  </si>
  <si>
    <t>n-BUTANE</t>
  </si>
  <si>
    <t>ISOBUTANE</t>
  </si>
  <si>
    <t>n-PENTANE</t>
  </si>
  <si>
    <t>ISOPENTANE</t>
  </si>
  <si>
    <t>NEOPENTANE</t>
  </si>
  <si>
    <t>n-HEXANE</t>
  </si>
  <si>
    <t>n-HEPTANE</t>
  </si>
  <si>
    <t>n-OCTANE</t>
  </si>
  <si>
    <t>n-NONANE</t>
  </si>
  <si>
    <t>n-DECANE</t>
  </si>
  <si>
    <t>n-DODECANE</t>
  </si>
  <si>
    <t>n-TETRADECANE</t>
  </si>
  <si>
    <t>n-HEXADECANE</t>
  </si>
  <si>
    <t>Naphthenes</t>
  </si>
  <si>
    <t>CYCLOPENTANE</t>
  </si>
  <si>
    <t>METHYLCYCLOPENTANE</t>
  </si>
  <si>
    <t>CYCLOHEXANE</t>
  </si>
  <si>
    <t>METHYLCYCLOHEXANE</t>
  </si>
  <si>
    <t>Olefins and Acetylene</t>
  </si>
  <si>
    <t>ETHYLENE</t>
  </si>
  <si>
    <t>PROPYLENE</t>
  </si>
  <si>
    <t>1-BUTENE</t>
  </si>
  <si>
    <t>ISOBUTENE</t>
  </si>
  <si>
    <t>1-PENTENE</t>
  </si>
  <si>
    <t>ACETYLENE</t>
  </si>
  <si>
    <t>1,3-BUTADIENE</t>
  </si>
  <si>
    <t>ISOPRENE</t>
  </si>
  <si>
    <t>Aromatics</t>
  </si>
  <si>
    <t>BENZENE</t>
  </si>
  <si>
    <t>TOLUENE</t>
  </si>
  <si>
    <t>ETHYLBENZENE</t>
  </si>
  <si>
    <t>o-XYLENE</t>
  </si>
  <si>
    <t>m-XYLENE</t>
  </si>
  <si>
    <t>p-XYLENE</t>
  </si>
  <si>
    <t>CUMENE</t>
  </si>
  <si>
    <t>BIPHENYL</t>
  </si>
  <si>
    <t>DIPHENYLMETHANE</t>
  </si>
  <si>
    <t>NAPHTHALENE</t>
  </si>
  <si>
    <t>1-METHYLNAPHTHALENE</t>
  </si>
  <si>
    <t>TETRALIN</t>
  </si>
  <si>
    <t>Oxygenated</t>
  </si>
  <si>
    <t>Hydrocarbons</t>
  </si>
  <si>
    <t>METHANOL</t>
  </si>
  <si>
    <t>ETHANOL</t>
  </si>
  <si>
    <t>PROPANOL</t>
  </si>
  <si>
    <t>ISOPROPANOL</t>
  </si>
  <si>
    <t>1-BUTANOL</t>
  </si>
  <si>
    <t>ISOBUTANOL</t>
  </si>
  <si>
    <t>THF</t>
  </si>
  <si>
    <t>###</t>
  </si>
  <si>
    <t>DIETHYL ETHER</t>
  </si>
  <si>
    <t>#</t>
  </si>
  <si>
    <t>ETHYLENE OXIDE</t>
  </si>
  <si>
    <t>METHYL ETHYL KETONE</t>
  </si>
  <si>
    <t>Halocarbons</t>
  </si>
  <si>
    <t>FREON-12(CCl2F2)</t>
  </si>
  <si>
    <t>FREON-22(CClF2)</t>
  </si>
  <si>
    <t>FREON-11(CCl3F)</t>
  </si>
  <si>
    <t>FREON-113(C2Cl3F3)</t>
  </si>
  <si>
    <t>METHYL CHLORIDE</t>
  </si>
  <si>
    <t>CHLOROFORM(CHCl3)</t>
  </si>
  <si>
    <t>CARBON TETRACHLORIDE</t>
  </si>
  <si>
    <t>CHLOROBENZENE</t>
  </si>
  <si>
    <t>Gases</t>
  </si>
  <si>
    <t>ARGON</t>
  </si>
  <si>
    <t>BROMINE</t>
  </si>
  <si>
    <t>CHLORINE</t>
  </si>
  <si>
    <t>HELIUM-4</t>
  </si>
  <si>
    <t>KRYPTON</t>
  </si>
  <si>
    <t>NEON</t>
  </si>
  <si>
    <t>XENON</t>
  </si>
  <si>
    <t>NITRIC OXIDE</t>
  </si>
  <si>
    <t>NITROUS OXIDE</t>
  </si>
  <si>
    <t>SULFUR DIOXIDE</t>
  </si>
  <si>
    <t>SULFUR TRIOXIDE</t>
  </si>
  <si>
    <t>OXYGEN</t>
  </si>
  <si>
    <t>HYDROGEN</t>
  </si>
  <si>
    <t>NITROGEN</t>
  </si>
  <si>
    <t>CARBON MONOXIDE</t>
  </si>
  <si>
    <t>CARBON DIOXIDE</t>
  </si>
  <si>
    <t>Nasty gases</t>
  </si>
  <si>
    <t>HYDROGEN SULFIDE</t>
  </si>
  <si>
    <t>CARBON DISULFIDE</t>
  </si>
  <si>
    <t>HYDRAZINE(N2H4)</t>
  </si>
  <si>
    <t>HYDROGEN CHLORIDE</t>
  </si>
  <si>
    <t>HYDROGEN CYANIDE</t>
  </si>
  <si>
    <t>Miscellaneous Compounds</t>
  </si>
  <si>
    <t>ACETONE</t>
  </si>
  <si>
    <t>ACETONITRILE</t>
  </si>
  <si>
    <t>ACETIC ACID</t>
  </si>
  <si>
    <t>AMMONIA</t>
  </si>
  <si>
    <t>WATER</t>
  </si>
  <si>
    <t>References:  API Technical Data Book (extant 1988), and Reid,R.C., Prausnitz,J.M., and Sherwood, T.K.,  The  Properties of Liquids   and Gases , 3rd Edition,Mcgraw-Hill, New York (1977)</t>
  </si>
  <si>
    <t>Tr</t>
  </si>
  <si>
    <t>m</t>
  </si>
  <si>
    <t>Alpha</t>
  </si>
  <si>
    <r>
      <t>k</t>
    </r>
    <r>
      <rPr>
        <i/>
        <vertAlign val="subscript"/>
        <sz val="11"/>
        <color theme="1"/>
        <rFont val="Calibri"/>
        <family val="2"/>
        <scheme val="minor"/>
      </rPr>
      <t>ij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↘</t>
    </r>
  </si>
  <si>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</rPr>
      <t xml:space="preserve">↓ /  </t>
    </r>
    <r>
      <rPr>
        <i/>
        <sz val="11"/>
        <color theme="1"/>
        <rFont val="Calibri"/>
        <family val="2"/>
      </rPr>
      <t>j</t>
    </r>
    <r>
      <rPr>
        <sz val="11"/>
        <color theme="1"/>
        <rFont val="Calibri"/>
        <family val="2"/>
      </rPr>
      <t>→</t>
    </r>
  </si>
  <si>
    <r>
      <t>a</t>
    </r>
    <r>
      <rPr>
        <i/>
        <vertAlign val="subscript"/>
        <sz val="11"/>
        <color theme="1"/>
        <rFont val="Calibri"/>
        <family val="2"/>
        <scheme val="minor"/>
      </rPr>
      <t>i*Alpha</t>
    </r>
  </si>
  <si>
    <r>
      <t>a</t>
    </r>
    <r>
      <rPr>
        <b/>
        <i/>
        <vertAlign val="subscript"/>
        <sz val="11"/>
        <color theme="1"/>
        <rFont val="Calibri"/>
        <family val="2"/>
        <scheme val="minor"/>
      </rPr>
      <t>ij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</rPr>
      <t>↘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</si>
  <si>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</rPr>
      <t xml:space="preserve">↓ /  </t>
    </r>
    <r>
      <rPr>
        <b/>
        <i/>
        <sz val="11"/>
        <color theme="1"/>
        <rFont val="Calibri"/>
        <family val="2"/>
      </rPr>
      <t>a</t>
    </r>
    <r>
      <rPr>
        <b/>
        <i/>
        <vertAlign val="subscript"/>
        <sz val="11"/>
        <color theme="1"/>
        <rFont val="Calibri"/>
        <family val="2"/>
      </rPr>
      <t>j</t>
    </r>
    <r>
      <rPr>
        <b/>
        <sz val="11"/>
        <color theme="1"/>
        <rFont val="Calibri"/>
        <family val="2"/>
      </rPr>
      <t>→</t>
    </r>
  </si>
  <si>
    <r>
      <t>x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>.x</t>
    </r>
    <r>
      <rPr>
        <i/>
        <vertAlign val="subscript"/>
        <sz val="11"/>
        <color theme="1"/>
        <rFont val="Calibri"/>
        <family val="2"/>
        <scheme val="minor"/>
      </rPr>
      <t>j</t>
    </r>
    <r>
      <rPr>
        <i/>
        <sz val="11"/>
        <color theme="1"/>
        <rFont val="Calibri"/>
        <family val="2"/>
        <scheme val="minor"/>
      </rPr>
      <t>.a</t>
    </r>
    <r>
      <rPr>
        <i/>
        <vertAlign val="subscript"/>
        <sz val="11"/>
        <color theme="1"/>
        <rFont val="Calibri"/>
        <family val="2"/>
        <scheme val="minor"/>
      </rPr>
      <t>ij</t>
    </r>
    <r>
      <rPr>
        <i/>
        <sz val="11"/>
        <color theme="1"/>
        <rFont val="Calibri"/>
        <family val="2"/>
      </rPr>
      <t xml:space="preserve"> ↘</t>
    </r>
  </si>
  <si>
    <r>
      <rPr>
        <i/>
        <sz val="11"/>
        <color theme="1"/>
        <rFont val="Calibri"/>
        <family val="2"/>
        <scheme val="minor"/>
      </rPr>
      <t>x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</rPr>
      <t xml:space="preserve">↓ /  </t>
    </r>
    <r>
      <rPr>
        <i/>
        <sz val="11"/>
        <color theme="1"/>
        <rFont val="Calibri"/>
        <family val="2"/>
      </rPr>
      <t>x</t>
    </r>
    <r>
      <rPr>
        <i/>
        <vertAlign val="subscript"/>
        <sz val="11"/>
        <color theme="1"/>
        <rFont val="Calibri"/>
        <family val="2"/>
      </rPr>
      <t>j</t>
    </r>
    <r>
      <rPr>
        <sz val="11"/>
        <color theme="1"/>
        <rFont val="Calibri"/>
        <family val="2"/>
      </rPr>
      <t>→</t>
    </r>
  </si>
  <si>
    <t>SRK mixture parameters:</t>
  </si>
  <si>
    <r>
      <rPr>
        <b/>
        <i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>(</t>
    </r>
    <r>
      <rPr>
        <b/>
        <i/>
        <sz val="14"/>
        <color theme="1"/>
        <rFont val="Calibri"/>
        <family val="2"/>
        <scheme val="minor"/>
      </rPr>
      <t>T</t>
    </r>
    <r>
      <rPr>
        <b/>
        <sz val="14"/>
        <color theme="1"/>
        <rFont val="Calibri"/>
        <family val="2"/>
        <scheme val="minor"/>
      </rPr>
      <t>) =</t>
    </r>
  </si>
  <si>
    <r>
      <rPr>
        <b/>
        <i/>
        <sz val="14"/>
        <color theme="1"/>
        <rFont val="Calibri"/>
        <family val="2"/>
        <scheme val="minor"/>
      </rPr>
      <t>b</t>
    </r>
    <r>
      <rPr>
        <b/>
        <sz val="14"/>
        <color theme="1"/>
        <rFont val="Calibri"/>
        <family val="2"/>
        <scheme val="minor"/>
      </rPr>
      <t xml:space="preserve"> =</t>
    </r>
  </si>
  <si>
    <t>Xi*bi</t>
  </si>
  <si>
    <t>A</t>
  </si>
  <si>
    <t>B</t>
  </si>
  <si>
    <t>Form a cubic equation</t>
  </si>
  <si>
    <t>a1</t>
  </si>
  <si>
    <t>a2</t>
  </si>
  <si>
    <t>a3</t>
  </si>
  <si>
    <t>a0</t>
  </si>
  <si>
    <t>SOLUTION FOR Z</t>
  </si>
  <si>
    <t>P</t>
  </si>
  <si>
    <t>Q</t>
  </si>
  <si>
    <t>R</t>
  </si>
  <si>
    <t>Solution for Real Roots</t>
  </si>
  <si>
    <t>Solution for unreal Roots</t>
  </si>
  <si>
    <t>If R is +ve The Equation has one real root</t>
  </si>
  <si>
    <t>If R is +e The Equation has 3 unreal root</t>
  </si>
  <si>
    <t>x</t>
  </si>
  <si>
    <t>y</t>
  </si>
  <si>
    <t>ROOT</t>
  </si>
  <si>
    <t>3T</t>
  </si>
  <si>
    <t>T</t>
  </si>
  <si>
    <t>r1</t>
  </si>
  <si>
    <t>r2</t>
  </si>
  <si>
    <t>r3</t>
  </si>
  <si>
    <t>SRK EQUATION OF STATE</t>
  </si>
  <si>
    <t>Current State</t>
  </si>
  <si>
    <t>Roots</t>
  </si>
  <si>
    <t>T (K)</t>
  </si>
  <si>
    <t>Z</t>
  </si>
  <si>
    <t>V</t>
  </si>
  <si>
    <t>fugacity</t>
  </si>
  <si>
    <t>P (MPa)</t>
  </si>
  <si>
    <t>&amp; for 1 root region</t>
  </si>
  <si>
    <t>Stable Root has a lower fugacity</t>
  </si>
  <si>
    <r>
      <t>cm</t>
    </r>
    <r>
      <rPr>
        <vertAlign val="superscript"/>
        <sz val="12"/>
        <rFont val="Arial"/>
        <family val="2"/>
      </rPr>
      <t>3</t>
    </r>
    <r>
      <rPr>
        <sz val="12"/>
        <color theme="1"/>
        <rFont val="Calibri"/>
        <family val="2"/>
        <scheme val="minor"/>
      </rPr>
      <t>/gmol</t>
    </r>
  </si>
  <si>
    <t>Answers for 3 root region</t>
  </si>
  <si>
    <t xml:space="preserve">Temperature, T = </t>
  </si>
  <si>
    <t>Pressure, P =</t>
  </si>
  <si>
    <t>Mole Fraction, xi</t>
  </si>
  <si>
    <t>Deg C</t>
  </si>
  <si>
    <t>KscG</t>
  </si>
  <si>
    <r>
      <t xml:space="preserve">Gas Constant, </t>
    </r>
    <r>
      <rPr>
        <b/>
        <i/>
        <sz val="11"/>
        <color theme="1"/>
        <rFont val="Calibri"/>
        <family val="2"/>
        <scheme val="minor"/>
      </rPr>
      <t>R</t>
    </r>
    <r>
      <rPr>
        <b/>
        <sz val="10"/>
        <rFont val="Arial"/>
        <family val="2"/>
      </rPr>
      <t xml:space="preserve"> =</t>
    </r>
  </si>
  <si>
    <r>
      <t>J mol</t>
    </r>
    <r>
      <rPr>
        <b/>
        <vertAlign val="superscript"/>
        <sz val="11"/>
        <color theme="1"/>
        <rFont val="Calibri"/>
        <family val="2"/>
      </rPr>
      <t>−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0"/>
        <rFont val="Arial"/>
        <family val="2"/>
      </rPr>
      <t xml:space="preserve"> K</t>
    </r>
    <r>
      <rPr>
        <b/>
        <vertAlign val="superscript"/>
        <sz val="11"/>
        <color theme="1"/>
        <rFont val="Calibri"/>
        <family val="2"/>
        <scheme val="minor"/>
      </rPr>
      <t>−1</t>
    </r>
  </si>
  <si>
    <t>Total</t>
  </si>
  <si>
    <t>Critical properties</t>
  </si>
  <si>
    <t>Disclaimer : only change values that are highlightened in green and don’t change units</t>
  </si>
  <si>
    <t>in kscg</t>
  </si>
  <si>
    <t>PR EQUATION OF STATE</t>
  </si>
  <si>
    <t>PR mixture parameters:</t>
  </si>
  <si>
    <t>SRK EQUATION OF STATE (Parameter modified for H2)</t>
  </si>
  <si>
    <t>fugacity ratio</t>
  </si>
  <si>
    <r>
      <t>x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>.a</t>
    </r>
    <r>
      <rPr>
        <i/>
        <vertAlign val="subscript"/>
        <sz val="11"/>
        <color theme="1"/>
        <rFont val="Calibri"/>
        <family val="2"/>
        <scheme val="minor"/>
      </rPr>
      <t>ik</t>
    </r>
    <r>
      <rPr>
        <i/>
        <sz val="11"/>
        <color theme="1"/>
        <rFont val="Calibri"/>
        <family val="2"/>
      </rPr>
      <t xml:space="preserve"> ↘</t>
    </r>
  </si>
  <si>
    <r>
      <rPr>
        <i/>
        <sz val="11"/>
        <color theme="1"/>
        <rFont val="Calibri"/>
        <family val="2"/>
        <scheme val="minor"/>
      </rPr>
      <t>x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</rPr>
      <t>↓ /  a</t>
    </r>
    <r>
      <rPr>
        <i/>
        <sz val="11"/>
        <color theme="1"/>
        <rFont val="Calibri"/>
        <family val="2"/>
      </rPr>
      <t>ik</t>
    </r>
    <r>
      <rPr>
        <sz val="11"/>
        <color theme="1"/>
        <rFont val="Calibri"/>
        <family val="2"/>
      </rPr>
      <t>→</t>
    </r>
  </si>
  <si>
    <t>SUM</t>
  </si>
  <si>
    <t>ai1</t>
  </si>
  <si>
    <t>ai2</t>
  </si>
  <si>
    <t>ai3</t>
  </si>
  <si>
    <t>Ki</t>
  </si>
  <si>
    <t>Fugacity coefficients of each species</t>
  </si>
  <si>
    <t>B0</t>
  </si>
  <si>
    <t>B1</t>
  </si>
  <si>
    <t>BPc/RTc</t>
  </si>
  <si>
    <t>Density</t>
  </si>
  <si>
    <t>Specific Volume</t>
  </si>
  <si>
    <t>Kg/m3</t>
  </si>
  <si>
    <t>m3/Kg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</si>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</sst>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name val="Arial"/>
      <family val="2"/>
    </font>
    <font>
      <sz val="18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0"/>
      <name val="Arial"/>
      <family val="2"/>
    </font>
    <font>
      <b/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B5CEA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165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2" fontId="15" fillId="0" borderId="0" xfId="1" applyNumberFormat="1" applyFont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4" fillId="2" borderId="2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" xfId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3" fillId="2" borderId="0" xfId="2" applyFont="1" applyBorder="1" applyAlignment="1">
      <alignment horizontal="center" vertical="center"/>
    </xf>
    <xf numFmtId="164" fontId="23" fillId="2" borderId="0" xfId="2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18" fillId="3" borderId="3" xfId="3" applyBorder="1" applyAlignment="1">
      <alignment horizontal="center" vertical="center"/>
    </xf>
    <xf numFmtId="165" fontId="18" fillId="3" borderId="3" xfId="3" applyNumberFormat="1" applyBorder="1" applyAlignment="1">
      <alignment horizontal="center" vertical="center"/>
    </xf>
    <xf numFmtId="166" fontId="18" fillId="3" borderId="3" xfId="3" applyNumberFormat="1" applyBorder="1" applyAlignment="1">
      <alignment horizontal="center" vertical="center"/>
    </xf>
    <xf numFmtId="165" fontId="18" fillId="3" borderId="3" xfId="3" applyNumberFormat="1" applyBorder="1" applyAlignment="1" applyProtection="1">
      <alignment horizontal="center" vertical="center"/>
    </xf>
    <xf numFmtId="166" fontId="18" fillId="3" borderId="3" xfId="3" applyNumberFormat="1" applyBorder="1" applyAlignment="1" applyProtection="1">
      <alignment horizontal="center" vertical="center"/>
    </xf>
    <xf numFmtId="0" fontId="2" fillId="0" borderId="0" xfId="0" applyFont="1"/>
    <xf numFmtId="0" fontId="2" fillId="4" borderId="3" xfId="4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3" xfId="4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0" xfId="5" applyAlignment="1">
      <alignment horizontal="center" vertical="center"/>
    </xf>
    <xf numFmtId="11" fontId="17" fillId="2" borderId="0" xfId="2" applyNumberFormat="1" applyAlignment="1">
      <alignment horizontal="center" vertical="center"/>
    </xf>
    <xf numFmtId="0" fontId="17" fillId="2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1" applyFont="1" applyBorder="1" applyAlignment="1">
      <alignment horizontal="center"/>
    </xf>
    <xf numFmtId="11" fontId="0" fillId="0" borderId="2" xfId="0" applyNumberForma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1" fontId="0" fillId="6" borderId="0" xfId="0" applyNumberFormat="1" applyFill="1" applyAlignment="1">
      <alignment horizontal="center" vertical="center"/>
    </xf>
    <xf numFmtId="0" fontId="15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2" borderId="0" xfId="2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4" borderId="5" xfId="4" applyFont="1" applyBorder="1" applyAlignment="1">
      <alignment horizontal="center" vertical="center"/>
    </xf>
    <xf numFmtId="0" fontId="2" fillId="4" borderId="6" xfId="4" applyFont="1" applyBorder="1" applyAlignment="1">
      <alignment horizontal="center" vertical="center"/>
    </xf>
    <xf numFmtId="0" fontId="2" fillId="4" borderId="7" xfId="4" applyFont="1" applyBorder="1" applyAlignment="1">
      <alignment horizontal="center" vertical="center"/>
    </xf>
    <xf numFmtId="0" fontId="1" fillId="5" borderId="0" xfId="5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0" fillId="0" borderId="0" xfId="0" applyFont="1" applyAlignment="1">
      <alignment vertical="center"/>
    </xf>
  </cellXfs>
  <cellStyles count="6">
    <cellStyle name="20% - Accent1" xfId="4" builtinId="30"/>
    <cellStyle name="20% - Accent4" xfId="5" builtinId="42"/>
    <cellStyle name="Good" xfId="2" builtinId="26"/>
    <cellStyle name="Neutral" xfId="3" builtinId="28"/>
    <cellStyle name="Normal" xfId="0" builtinId="0"/>
    <cellStyle name="Normal 2 2" xfId="1" xr:uid="{C5C220DD-B0DF-449C-9652-76E1887C8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4168-B6E1-47E8-9B56-7EE5272A266F}">
  <sheetPr codeName="Sheet1"/>
  <dimension ref="A1:M128"/>
  <sheetViews>
    <sheetView topLeftCell="A13" workbookViewId="0">
      <selection activeCell="B21" sqref="B21:K24"/>
    </sheetView>
  </sheetViews>
  <sheetFormatPr defaultRowHeight="14.4" x14ac:dyDescent="0.3"/>
  <cols>
    <col min="1" max="1" width="33.88671875" style="4" customWidth="1"/>
    <col min="2" max="2" width="16.5546875" style="4" customWidth="1"/>
    <col min="3" max="3" width="14.77734375" style="4" customWidth="1"/>
    <col min="4" max="4" width="14" style="4" customWidth="1"/>
    <col min="5" max="5" width="14.77734375" style="4" customWidth="1"/>
    <col min="6" max="6" width="17.88671875" style="4" customWidth="1"/>
    <col min="7" max="7" width="12.88671875" style="4" customWidth="1"/>
    <col min="8" max="8" width="12.21875" style="4" customWidth="1"/>
    <col min="9" max="9" width="12.33203125" style="4" customWidth="1"/>
    <col min="10" max="10" width="14.21875" style="4" customWidth="1"/>
    <col min="11" max="12" width="14" style="4" customWidth="1"/>
    <col min="13" max="13" width="8.88671875" style="4" customWidth="1"/>
    <col min="14" max="16384" width="8.88671875" style="4"/>
  </cols>
  <sheetData>
    <row r="1" spans="1:13" ht="31.2" customHeight="1" x14ac:dyDescent="0.3">
      <c r="A1" s="81" t="s">
        <v>160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3" s="6" customFormat="1" ht="31.2" customHeight="1" x14ac:dyDescent="0.3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3" s="6" customFormat="1" ht="23.4" x14ac:dyDescent="0.3">
      <c r="A3" s="80" t="s">
        <v>181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3" ht="19.2" customHeight="1" x14ac:dyDescent="0.3">
      <c r="A4" s="3"/>
      <c r="B4" s="3"/>
      <c r="C4" s="3"/>
    </row>
    <row r="5" spans="1:13" ht="22.8" customHeight="1" x14ac:dyDescent="0.3">
      <c r="A5" s="31" t="s">
        <v>177</v>
      </c>
      <c r="B5" s="32">
        <v>8.3144626181532395</v>
      </c>
      <c r="C5" s="31" t="s">
        <v>178</v>
      </c>
      <c r="J5" s="1"/>
      <c r="K5" s="1"/>
      <c r="L5" s="1"/>
      <c r="M5" s="1"/>
    </row>
    <row r="6" spans="1:13" s="6" customFormat="1" ht="22.8" customHeight="1" x14ac:dyDescent="0.3">
      <c r="A6" s="29" t="s">
        <v>172</v>
      </c>
      <c r="B6" s="30">
        <v>787</v>
      </c>
      <c r="C6" s="29" t="s">
        <v>175</v>
      </c>
      <c r="E6" s="19"/>
      <c r="F6" s="19"/>
      <c r="G6" s="19"/>
      <c r="H6" s="18"/>
      <c r="I6" s="18"/>
    </row>
    <row r="7" spans="1:13" s="6" customFormat="1" ht="22.8" customHeight="1" x14ac:dyDescent="0.3">
      <c r="A7" s="29" t="s">
        <v>173</v>
      </c>
      <c r="B7" s="30">
        <v>29.9</v>
      </c>
      <c r="C7" s="29" t="s">
        <v>176</v>
      </c>
      <c r="E7" s="82" t="s">
        <v>161</v>
      </c>
      <c r="F7" s="84"/>
      <c r="G7" s="82" t="s">
        <v>162</v>
      </c>
      <c r="H7" s="83"/>
      <c r="I7" s="84"/>
    </row>
    <row r="8" spans="1:13" ht="33.6" customHeight="1" x14ac:dyDescent="0.3">
      <c r="A8" s="33" t="s">
        <v>172</v>
      </c>
      <c r="B8" s="34">
        <f>B6+273.15</f>
        <v>1060.1500000000001</v>
      </c>
      <c r="C8" s="33" t="s">
        <v>0</v>
      </c>
      <c r="E8" s="33" t="s">
        <v>163</v>
      </c>
      <c r="F8" s="36">
        <f>B8</f>
        <v>1060.1500000000001</v>
      </c>
      <c r="G8" s="45" t="s">
        <v>164</v>
      </c>
      <c r="H8" s="45" t="s">
        <v>165</v>
      </c>
      <c r="I8" s="76" t="s">
        <v>166</v>
      </c>
      <c r="J8" s="76"/>
    </row>
    <row r="9" spans="1:13" ht="28.2" customHeight="1" x14ac:dyDescent="0.3">
      <c r="A9" s="33" t="s">
        <v>173</v>
      </c>
      <c r="B9" s="35">
        <f>(ABS(B7-1.03323)*0.0980665)</f>
        <v>2.8308631002049998</v>
      </c>
      <c r="C9" s="33" t="s">
        <v>1</v>
      </c>
      <c r="E9" s="33" t="s">
        <v>167</v>
      </c>
      <c r="F9" s="37">
        <f>B9</f>
        <v>2.8308631002049998</v>
      </c>
      <c r="G9" s="20"/>
      <c r="H9" s="20" t="s">
        <v>170</v>
      </c>
      <c r="I9" s="20" t="s">
        <v>1</v>
      </c>
      <c r="J9" s="50" t="s">
        <v>182</v>
      </c>
    </row>
    <row r="10" spans="1:13" ht="24" customHeight="1" x14ac:dyDescent="0.3">
      <c r="A10" s="21"/>
      <c r="B10" s="21"/>
      <c r="C10" s="21"/>
      <c r="E10" s="76" t="s">
        <v>171</v>
      </c>
      <c r="F10" s="76"/>
      <c r="G10" s="39" t="e">
        <f>K125</f>
        <v>#NUM!</v>
      </c>
      <c r="H10" s="39" t="e">
        <f>G10*$B$5*$B$8/$B$9</f>
        <v>#NUM!</v>
      </c>
      <c r="I10" s="39" t="e">
        <f>$B$9*EXP(G10-1-LN(G10-$B$12)-$B$11/$B$12/2.8284*LN((G10+2.4142*$B$12)/(G10-0.4142*$B$12)))</f>
        <v>#NUM!</v>
      </c>
      <c r="J10" s="51" t="e">
        <f t="shared" ref="J10:J13" si="0">(I10/0.0980665)+1.03323</f>
        <v>#NUM!</v>
      </c>
    </row>
    <row r="11" spans="1:13" ht="26.4" customHeight="1" x14ac:dyDescent="0.3">
      <c r="A11" s="52" t="str">
        <f>A110</f>
        <v>A</v>
      </c>
      <c r="B11" s="52">
        <f>B110</f>
        <v>3.0650398452892222E-3</v>
      </c>
      <c r="C11" s="21"/>
      <c r="E11" s="76"/>
      <c r="F11" s="76"/>
      <c r="G11" s="39" t="e">
        <f>K126</f>
        <v>#NUM!</v>
      </c>
      <c r="H11" s="39" t="e">
        <f t="shared" ref="H11:H12" si="1">G11*$B$5*$B$8/$B$9</f>
        <v>#NUM!</v>
      </c>
      <c r="I11" s="39" t="e">
        <f t="shared" ref="I11:I12" si="2">$B$9*EXP(G11-1-LN(G11-$B$12)-$B$11/$B$12/2.8284*LN((G11+2.4142*$B$12)/(G11-0.4142*$B$12)))</f>
        <v>#NUM!</v>
      </c>
      <c r="J11" s="51" t="e">
        <f t="shared" si="0"/>
        <v>#NUM!</v>
      </c>
    </row>
    <row r="12" spans="1:13" ht="25.2" customHeight="1" x14ac:dyDescent="0.3">
      <c r="A12" s="52" t="str">
        <f>A111</f>
        <v>B</v>
      </c>
      <c r="B12" s="52">
        <f>B111</f>
        <v>7.0148403014400982E-3</v>
      </c>
      <c r="C12" s="21"/>
      <c r="E12" s="76"/>
      <c r="F12" s="76"/>
      <c r="G12" s="39" t="e">
        <f>K127</f>
        <v>#NUM!</v>
      </c>
      <c r="H12" s="39" t="e">
        <f t="shared" si="1"/>
        <v>#NUM!</v>
      </c>
      <c r="I12" s="39" t="e">
        <f t="shared" si="2"/>
        <v>#NUM!</v>
      </c>
      <c r="J12" s="51" t="e">
        <f t="shared" si="0"/>
        <v>#NUM!</v>
      </c>
    </row>
    <row r="13" spans="1:13" s="48" customFormat="1" ht="25.2" customHeight="1" x14ac:dyDescent="0.3">
      <c r="A13" s="52"/>
      <c r="B13" s="52"/>
      <c r="C13" s="21"/>
      <c r="E13" s="85" t="s">
        <v>186</v>
      </c>
      <c r="F13" s="86"/>
      <c r="G13" s="87" t="e">
        <f>I10/I12</f>
        <v>#NUM!</v>
      </c>
      <c r="H13" s="88"/>
      <c r="I13" s="89"/>
      <c r="J13" s="51">
        <f t="shared" si="0"/>
        <v>1.0332300000000001</v>
      </c>
    </row>
    <row r="14" spans="1:13" ht="26.4" customHeight="1" x14ac:dyDescent="0.3">
      <c r="E14" s="76" t="s">
        <v>168</v>
      </c>
      <c r="F14" s="76"/>
      <c r="G14" s="39">
        <f>B127</f>
        <v>1.0040043883257543</v>
      </c>
      <c r="H14" s="39">
        <f>G14*$B$5*$B$8/$B$9</f>
        <v>3126.2107077556943</v>
      </c>
      <c r="I14" s="39">
        <f>$B$9*EXP(G14-1-LN(G14-$B$12)-$B$11/$B$12/2.8284*LN((G14+2.4142*$B$12)/(G14-0.4142*$B$12)))</f>
        <v>2.8421741285099169</v>
      </c>
      <c r="J14" s="51">
        <f>(I14/0.0980665)+1.03323</f>
        <v>30.015340389479761</v>
      </c>
    </row>
    <row r="15" spans="1:13" ht="15.6" x14ac:dyDescent="0.3">
      <c r="E15" s="76" t="s">
        <v>169</v>
      </c>
      <c r="F15" s="76"/>
      <c r="G15" s="76"/>
      <c r="H15" s="76"/>
      <c r="I15" s="76"/>
      <c r="J15" s="76"/>
    </row>
    <row r="16" spans="1:13" x14ac:dyDescent="0.3">
      <c r="A16" s="3"/>
      <c r="B16" s="2"/>
      <c r="C16" s="3"/>
    </row>
    <row r="17" spans="1:12" x14ac:dyDescent="0.3">
      <c r="A17" s="3" t="s">
        <v>2</v>
      </c>
      <c r="B17" s="2"/>
      <c r="C17" s="3"/>
    </row>
    <row r="19" spans="1:12" x14ac:dyDescent="0.3">
      <c r="A19" s="7" t="s">
        <v>12</v>
      </c>
      <c r="B19" s="24" t="s">
        <v>3</v>
      </c>
      <c r="C19" s="24" t="s">
        <v>4</v>
      </c>
      <c r="D19" s="24" t="s">
        <v>5</v>
      </c>
      <c r="E19" s="24" t="s">
        <v>6</v>
      </c>
      <c r="F19" s="24" t="s">
        <v>7</v>
      </c>
      <c r="G19" s="24" t="s">
        <v>8</v>
      </c>
      <c r="H19" s="24" t="s">
        <v>9</v>
      </c>
      <c r="I19" s="24" t="s">
        <v>10</v>
      </c>
      <c r="J19" s="24" t="s">
        <v>19</v>
      </c>
      <c r="K19" s="24" t="s">
        <v>20</v>
      </c>
    </row>
    <row r="20" spans="1:12" x14ac:dyDescent="0.3">
      <c r="A20" s="8" t="s">
        <v>13</v>
      </c>
      <c r="B20" s="4">
        <v>1</v>
      </c>
      <c r="C20" s="4">
        <v>2</v>
      </c>
      <c r="D20" s="4">
        <v>3</v>
      </c>
      <c r="E20" s="4">
        <v>4</v>
      </c>
      <c r="F20" s="4">
        <v>5</v>
      </c>
      <c r="G20" s="4">
        <v>6</v>
      </c>
      <c r="H20" s="4">
        <v>7</v>
      </c>
      <c r="I20" s="4">
        <v>8</v>
      </c>
      <c r="J20" s="4">
        <v>9</v>
      </c>
      <c r="K20" s="4">
        <v>10</v>
      </c>
      <c r="L20" s="13" t="s">
        <v>179</v>
      </c>
    </row>
    <row r="21" spans="1:12" ht="23.4" customHeight="1" x14ac:dyDescent="0.3">
      <c r="A21" s="22" t="s">
        <v>174</v>
      </c>
      <c r="B21" s="56">
        <v>5.6064625028032299E-2</v>
      </c>
      <c r="C21" s="57">
        <v>0.35036280317518098</v>
      </c>
      <c r="D21" s="57">
        <v>0.43830151021915098</v>
      </c>
      <c r="E21" s="56">
        <v>6.4888090032444001E-2</v>
      </c>
      <c r="F21" s="56">
        <v>8.7883903043941905E-2</v>
      </c>
      <c r="G21" s="56">
        <v>3.2882500016441298E-5</v>
      </c>
      <c r="H21" s="56">
        <v>2.46618600123309E-3</v>
      </c>
      <c r="I21" s="57">
        <v>0</v>
      </c>
      <c r="J21" s="57">
        <v>0</v>
      </c>
      <c r="K21" s="57">
        <v>0</v>
      </c>
      <c r="L21" s="57">
        <f>SUM(B21:K21)</f>
        <v>0.99999999999999956</v>
      </c>
    </row>
    <row r="22" spans="1:12" ht="15.6" x14ac:dyDescent="0.35">
      <c r="A22" s="8" t="s">
        <v>14</v>
      </c>
      <c r="B22">
        <v>190.6</v>
      </c>
      <c r="C22">
        <v>33.299999999999997</v>
      </c>
      <c r="D22">
        <v>647.29999999999995</v>
      </c>
      <c r="E22">
        <v>132.9</v>
      </c>
      <c r="F22">
        <v>304.2</v>
      </c>
      <c r="G22">
        <v>150.9</v>
      </c>
      <c r="H22">
        <v>126.1</v>
      </c>
      <c r="I22">
        <v>154.6</v>
      </c>
      <c r="J22">
        <v>406.6</v>
      </c>
      <c r="K22">
        <v>512.6</v>
      </c>
    </row>
    <row r="23" spans="1:12" ht="15.6" x14ac:dyDescent="0.35">
      <c r="A23" s="8" t="s">
        <v>15</v>
      </c>
      <c r="B23">
        <v>4.6040000000000001</v>
      </c>
      <c r="C23">
        <v>1.2969999999999999</v>
      </c>
      <c r="D23">
        <v>22.12</v>
      </c>
      <c r="E23">
        <v>3.4990000000000001</v>
      </c>
      <c r="F23">
        <v>7.3819999999999997</v>
      </c>
      <c r="G23">
        <v>4.8979999999999997</v>
      </c>
      <c r="H23">
        <v>3.3940000000000001</v>
      </c>
      <c r="I23">
        <v>5.0430000000000001</v>
      </c>
      <c r="J23">
        <v>11.27</v>
      </c>
      <c r="K23">
        <v>8.0960000000000001</v>
      </c>
    </row>
    <row r="24" spans="1:12" ht="15.6" x14ac:dyDescent="0.35">
      <c r="A24" s="10" t="s">
        <v>17</v>
      </c>
      <c r="B24">
        <v>1.0999999999999999E-2</v>
      </c>
      <c r="C24">
        <v>-0.215</v>
      </c>
      <c r="D24">
        <v>0.34399999999999997</v>
      </c>
      <c r="E24">
        <v>6.6000000000000003E-2</v>
      </c>
      <c r="F24">
        <v>0.22800000000000001</v>
      </c>
      <c r="G24">
        <v>-4.0000000000000001E-3</v>
      </c>
      <c r="H24">
        <v>0.04</v>
      </c>
      <c r="I24">
        <v>2.1999999999999999E-2</v>
      </c>
      <c r="J24">
        <v>0.252</v>
      </c>
      <c r="K24">
        <v>0.56599999999999995</v>
      </c>
    </row>
    <row r="25" spans="1:12" ht="15.6" x14ac:dyDescent="0.35">
      <c r="A25" s="9" t="s">
        <v>18</v>
      </c>
      <c r="B25" s="4">
        <f>(0.42747*($B$5)^2*(B22)^2)/B23</f>
        <v>233176.34416111218</v>
      </c>
      <c r="C25" s="48">
        <f t="shared" ref="C25:K25" si="3">(0.42747*($B$5)^2*(C22)^2)/C23</f>
        <v>25265.186140889949</v>
      </c>
      <c r="D25" s="48">
        <f t="shared" si="3"/>
        <v>559757.73388847697</v>
      </c>
      <c r="E25" s="48">
        <f t="shared" si="3"/>
        <v>149169.49886496202</v>
      </c>
      <c r="F25" s="48">
        <f t="shared" si="3"/>
        <v>370440.43873399647</v>
      </c>
      <c r="G25" s="48">
        <f t="shared" si="3"/>
        <v>137383.22597440332</v>
      </c>
      <c r="H25" s="48">
        <f t="shared" si="3"/>
        <v>138449.80438837834</v>
      </c>
      <c r="I25" s="48">
        <f t="shared" si="3"/>
        <v>140056.74288691345</v>
      </c>
      <c r="J25" s="48">
        <f t="shared" si="3"/>
        <v>433495.74987158045</v>
      </c>
      <c r="K25" s="48">
        <f t="shared" si="3"/>
        <v>959092.98727715109</v>
      </c>
    </row>
    <row r="26" spans="1:12" ht="15.6" x14ac:dyDescent="0.35">
      <c r="A26" s="9" t="s">
        <v>16</v>
      </c>
      <c r="B26" s="4">
        <f>(0.08664*$B$5*B22)/B23</f>
        <v>29.822236502982935</v>
      </c>
      <c r="C26" s="4">
        <f t="shared" ref="C26:K26" si="4">(0.08664*$B$5*C22)/C23</f>
        <v>18.495108614637878</v>
      </c>
      <c r="D26" s="4">
        <f t="shared" si="4"/>
        <v>21.080121663317289</v>
      </c>
      <c r="E26" s="4">
        <f t="shared" si="4"/>
        <v>27.361107167868042</v>
      </c>
      <c r="F26" s="4">
        <f t="shared" si="4"/>
        <v>29.685050872965803</v>
      </c>
      <c r="G26" s="4">
        <f t="shared" si="4"/>
        <v>22.193361519524831</v>
      </c>
      <c r="H26" s="4">
        <f t="shared" si="4"/>
        <v>26.764299263394239</v>
      </c>
      <c r="I26" s="4">
        <f t="shared" si="4"/>
        <v>22.083766681580162</v>
      </c>
      <c r="J26" s="4">
        <f t="shared" si="4"/>
        <v>25.989390041426933</v>
      </c>
      <c r="K26" s="4">
        <f t="shared" si="4"/>
        <v>45.610069187003702</v>
      </c>
    </row>
    <row r="27" spans="1:12" x14ac:dyDescent="0.3">
      <c r="A27" s="10" t="s">
        <v>123</v>
      </c>
      <c r="B27" s="4">
        <f>$B$8/B22</f>
        <v>5.5621720881427077</v>
      </c>
      <c r="C27" s="4">
        <f t="shared" ref="C27:K27" si="5">$B$8/C22</f>
        <v>31.836336336336341</v>
      </c>
      <c r="D27" s="4">
        <f t="shared" si="5"/>
        <v>1.637803182450178</v>
      </c>
      <c r="E27" s="4">
        <f t="shared" si="5"/>
        <v>7.9770504138449967</v>
      </c>
      <c r="F27" s="4">
        <f t="shared" si="5"/>
        <v>3.4850427350427355</v>
      </c>
      <c r="G27" s="4">
        <f t="shared" si="5"/>
        <v>7.0255135851557329</v>
      </c>
      <c r="H27" s="4">
        <f t="shared" si="5"/>
        <v>8.4072164948453612</v>
      </c>
      <c r="I27" s="4">
        <f t="shared" si="5"/>
        <v>6.8573738680465723</v>
      </c>
      <c r="J27" s="4">
        <f t="shared" si="5"/>
        <v>2.6073536645351698</v>
      </c>
      <c r="K27" s="4">
        <f t="shared" si="5"/>
        <v>2.0681818181818183</v>
      </c>
    </row>
    <row r="28" spans="1:12" x14ac:dyDescent="0.3">
      <c r="A28" s="23" t="s">
        <v>124</v>
      </c>
      <c r="B28" s="4">
        <f>0.48508+(1.55171*B24)-(0.15613*B24^2)</f>
        <v>0.50212991826999998</v>
      </c>
      <c r="C28" s="48">
        <f t="shared" ref="C28:K28" si="6">0.48508+(1.55171*C24)-(0.15613*C24^2)</f>
        <v>0.14424524075000003</v>
      </c>
      <c r="D28" s="48">
        <f t="shared" si="6"/>
        <v>1.00039244032</v>
      </c>
      <c r="E28" s="48">
        <f t="shared" si="6"/>
        <v>0.58681275771999997</v>
      </c>
      <c r="F28" s="48">
        <f t="shared" si="6"/>
        <v>0.83075361808000003</v>
      </c>
      <c r="G28" s="48">
        <f t="shared" si="6"/>
        <v>0.47887066192</v>
      </c>
      <c r="H28" s="48">
        <f t="shared" si="6"/>
        <v>0.54689859200000002</v>
      </c>
      <c r="I28" s="48">
        <f t="shared" si="6"/>
        <v>0.51914205308000005</v>
      </c>
      <c r="J28" s="48">
        <f t="shared" si="6"/>
        <v>0.86619604047999998</v>
      </c>
      <c r="K28" s="48">
        <f t="shared" si="6"/>
        <v>1.31333067772</v>
      </c>
    </row>
    <row r="29" spans="1:12" x14ac:dyDescent="0.3">
      <c r="A29" s="23" t="s">
        <v>125</v>
      </c>
      <c r="B29" s="4">
        <f>(1+(B28*(1-SQRT(B27))))^2</f>
        <v>0.10105645646745585</v>
      </c>
      <c r="C29" s="4">
        <f t="shared" ref="C29:K29" si="7">(1+(C28*(1-SQRT(C27))))^2</f>
        <v>0.10913790040922339</v>
      </c>
      <c r="D29" s="4">
        <f t="shared" si="7"/>
        <v>0.51857765548855494</v>
      </c>
      <c r="E29" s="4">
        <f t="shared" si="7"/>
        <v>4.9789933548226818E-3</v>
      </c>
      <c r="F29" s="4">
        <f t="shared" si="7"/>
        <v>7.8333040050093575E-2</v>
      </c>
      <c r="G29" s="4">
        <f t="shared" si="7"/>
        <v>4.3928450457316498E-2</v>
      </c>
      <c r="H29" s="4">
        <f t="shared" si="7"/>
        <v>1.5089214715090034E-3</v>
      </c>
      <c r="I29" s="4">
        <f t="shared" si="7"/>
        <v>2.5499667003746569E-2</v>
      </c>
      <c r="J29" s="4">
        <f t="shared" si="7"/>
        <v>0.21857787009780633</v>
      </c>
      <c r="K29" s="4">
        <f t="shared" si="7"/>
        <v>0.18029102306539144</v>
      </c>
    </row>
    <row r="30" spans="1:12" ht="15.6" x14ac:dyDescent="0.35">
      <c r="A30" s="9" t="s">
        <v>128</v>
      </c>
      <c r="B30" s="4">
        <f>B25*B29</f>
        <v>23563.975072957939</v>
      </c>
      <c r="C30" s="4">
        <f t="shared" ref="C30:K30" si="8">C25*C29</f>
        <v>2757.3893688649382</v>
      </c>
      <c r="D30" s="4">
        <f t="shared" si="8"/>
        <v>290277.85328147281</v>
      </c>
      <c r="E30" s="4">
        <f t="shared" si="8"/>
        <v>742.71394359087549</v>
      </c>
      <c r="F30" s="4">
        <f t="shared" si="8"/>
        <v>29017.725723524381</v>
      </c>
      <c r="G30" s="4">
        <f t="shared" si="8"/>
        <v>6035.0322358828935</v>
      </c>
      <c r="H30" s="4">
        <f t="shared" si="8"/>
        <v>208.90988256784553</v>
      </c>
      <c r="I30" s="4">
        <f t="shared" si="8"/>
        <v>3571.4003052456437</v>
      </c>
      <c r="J30" s="4">
        <f t="shared" si="8"/>
        <v>94752.577703381452</v>
      </c>
      <c r="K30" s="4">
        <f t="shared" si="8"/>
        <v>172915.85589104003</v>
      </c>
    </row>
    <row r="34" spans="1:11" x14ac:dyDescent="0.3">
      <c r="A34" s="77" t="s">
        <v>11</v>
      </c>
      <c r="B34" s="77"/>
      <c r="C34" s="77"/>
      <c r="D34" s="77"/>
      <c r="E34" s="77"/>
      <c r="F34" s="77"/>
      <c r="G34" s="77"/>
      <c r="H34" s="77"/>
      <c r="I34" s="77"/>
    </row>
    <row r="35" spans="1:11" x14ac:dyDescent="0.3">
      <c r="A35" s="25"/>
      <c r="B35" s="24" t="s">
        <v>3</v>
      </c>
      <c r="C35" s="24" t="s">
        <v>4</v>
      </c>
      <c r="D35" s="24" t="s">
        <v>5</v>
      </c>
      <c r="E35" s="24" t="s">
        <v>6</v>
      </c>
      <c r="F35" s="24" t="s">
        <v>7</v>
      </c>
      <c r="G35" s="24" t="s">
        <v>8</v>
      </c>
      <c r="H35" s="24" t="s">
        <v>9</v>
      </c>
      <c r="I35" s="24" t="s">
        <v>10</v>
      </c>
      <c r="J35" s="24" t="s">
        <v>19</v>
      </c>
      <c r="K35" s="24" t="s">
        <v>20</v>
      </c>
    </row>
    <row r="36" spans="1:11" x14ac:dyDescent="0.3">
      <c r="A36" s="23" t="s">
        <v>3</v>
      </c>
      <c r="B36" s="48">
        <v>0</v>
      </c>
      <c r="C36" s="5">
        <v>9.99990006675944E-5</v>
      </c>
      <c r="D36" s="48">
        <v>0.5</v>
      </c>
      <c r="E36" s="5">
        <v>2.0400000736117401E-2</v>
      </c>
      <c r="F36" s="5">
        <v>9.5600001513958005E-2</v>
      </c>
      <c r="G36" s="5">
        <v>-3.5000000149011598E-2</v>
      </c>
      <c r="H36" s="5">
        <v>0</v>
      </c>
      <c r="I36" s="48">
        <v>0</v>
      </c>
      <c r="J36" s="5">
        <v>3.1199000775814101E-2</v>
      </c>
      <c r="K36" s="5">
        <v>3.9000000804662698E-2</v>
      </c>
    </row>
    <row r="37" spans="1:11" x14ac:dyDescent="0.3">
      <c r="A37" s="23" t="s">
        <v>4</v>
      </c>
      <c r="B37" s="5">
        <v>9.99990006675944E-5</v>
      </c>
      <c r="C37" s="5">
        <v>0</v>
      </c>
      <c r="D37" s="48">
        <v>-0.754400014877319</v>
      </c>
      <c r="E37" s="5">
        <v>-6.9999002153053901E-4</v>
      </c>
      <c r="F37" s="5">
        <v>0.116400003433228</v>
      </c>
      <c r="G37" s="5">
        <v>0</v>
      </c>
      <c r="H37" s="5">
        <v>0</v>
      </c>
      <c r="I37" s="48">
        <v>0</v>
      </c>
      <c r="J37" s="5">
        <v>-1.00000004749745E-3</v>
      </c>
      <c r="K37" s="48">
        <v>0</v>
      </c>
    </row>
    <row r="38" spans="1:11" x14ac:dyDescent="0.3">
      <c r="A38" s="23" t="s">
        <v>5</v>
      </c>
      <c r="B38" s="5">
        <v>0.5</v>
      </c>
      <c r="C38" s="48">
        <v>-0.754400014877319</v>
      </c>
      <c r="D38" s="48">
        <v>0</v>
      </c>
      <c r="E38" s="5">
        <v>-0.55940002202987704</v>
      </c>
      <c r="F38" s="5">
        <v>2.9502892866730699E-3</v>
      </c>
      <c r="G38" s="5">
        <v>-9.00000035762787E-2</v>
      </c>
      <c r="H38" s="5">
        <v>-0.27250000834464999</v>
      </c>
      <c r="I38" s="48">
        <v>0</v>
      </c>
      <c r="J38" s="48">
        <v>-0.40167486667633101</v>
      </c>
      <c r="K38" s="5">
        <v>0.5</v>
      </c>
    </row>
    <row r="39" spans="1:11" x14ac:dyDescent="0.3">
      <c r="A39" s="23" t="s">
        <v>6</v>
      </c>
      <c r="B39" s="5">
        <v>2.0400000736117401E-2</v>
      </c>
      <c r="C39" s="5">
        <v>-6.9999002153053901E-4</v>
      </c>
      <c r="D39" s="48">
        <v>-0.55940002202987704</v>
      </c>
      <c r="E39" s="48">
        <v>0</v>
      </c>
      <c r="F39" s="5">
        <v>0.116400003433228</v>
      </c>
      <c r="G39" s="48">
        <v>0</v>
      </c>
      <c r="H39" s="5">
        <v>0</v>
      </c>
      <c r="I39" s="48">
        <v>0</v>
      </c>
      <c r="J39" s="5">
        <v>1.30000002682209E-2</v>
      </c>
      <c r="K39" s="48">
        <v>0</v>
      </c>
    </row>
    <row r="40" spans="1:11" x14ac:dyDescent="0.3">
      <c r="A40" s="23" t="s">
        <v>7</v>
      </c>
      <c r="B40" s="5">
        <v>9.5600001513958005E-2</v>
      </c>
      <c r="C40" s="5">
        <v>0.116400003433228</v>
      </c>
      <c r="D40" s="5">
        <v>2.9502892866730699E-3</v>
      </c>
      <c r="E40" s="48">
        <v>0.116400003433228</v>
      </c>
      <c r="F40" s="48">
        <v>0</v>
      </c>
      <c r="G40" s="5">
        <v>1.7000000923872001E-2</v>
      </c>
      <c r="H40" s="5">
        <v>0</v>
      </c>
      <c r="I40" s="5">
        <v>9.74999964237213E-2</v>
      </c>
      <c r="J40" s="5">
        <v>-1.7100000753998802E-2</v>
      </c>
      <c r="K40" s="5">
        <v>0</v>
      </c>
    </row>
    <row r="41" spans="1:11" x14ac:dyDescent="0.3">
      <c r="A41" s="23" t="s">
        <v>8</v>
      </c>
      <c r="B41" s="5">
        <v>-3.5000000149011598E-2</v>
      </c>
      <c r="C41" s="48">
        <v>0</v>
      </c>
      <c r="D41" s="5">
        <v>-9.00000035762787E-2</v>
      </c>
      <c r="E41" s="48">
        <v>0</v>
      </c>
      <c r="F41" s="5">
        <v>1.7000000923872001E-2</v>
      </c>
      <c r="G41" s="48">
        <v>0</v>
      </c>
      <c r="H41" s="5">
        <v>0</v>
      </c>
      <c r="I41" s="5">
        <v>0</v>
      </c>
      <c r="J41" s="48">
        <v>-0.21410000324249301</v>
      </c>
      <c r="K41" s="48">
        <v>0</v>
      </c>
    </row>
    <row r="42" spans="1:11" x14ac:dyDescent="0.3">
      <c r="A42" s="23" t="s">
        <v>9</v>
      </c>
      <c r="B42" s="5">
        <v>0</v>
      </c>
      <c r="C42" s="5">
        <v>0</v>
      </c>
      <c r="D42" s="48">
        <v>-0.27250000834464999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48">
        <v>0.22570000588893899</v>
      </c>
      <c r="K42" s="48">
        <v>0.33390000462531999</v>
      </c>
    </row>
    <row r="43" spans="1:11" x14ac:dyDescent="0.3">
      <c r="A43" s="23" t="s">
        <v>10</v>
      </c>
      <c r="B43" s="5">
        <v>0</v>
      </c>
      <c r="C43" s="5">
        <v>0</v>
      </c>
      <c r="D43" s="48">
        <v>0</v>
      </c>
      <c r="E43" s="5">
        <v>0</v>
      </c>
      <c r="F43" s="5">
        <v>9.74999964237213E-2</v>
      </c>
      <c r="G43" s="5">
        <v>0</v>
      </c>
      <c r="H43" s="5">
        <v>0</v>
      </c>
      <c r="I43" s="5">
        <v>0</v>
      </c>
      <c r="J43" s="5">
        <v>-1.4000000432133701E-2</v>
      </c>
      <c r="K43" s="5">
        <v>1.60000007599592E-2</v>
      </c>
    </row>
    <row r="44" spans="1:11" x14ac:dyDescent="0.3">
      <c r="A44" s="23" t="s">
        <v>19</v>
      </c>
      <c r="B44" s="5">
        <v>3.1199000775814101E-2</v>
      </c>
      <c r="C44" s="5">
        <v>-1.00000004749745E-3</v>
      </c>
      <c r="D44" s="48">
        <v>-0.40167486667633101</v>
      </c>
      <c r="E44" s="5">
        <v>1.30000002682209E-2</v>
      </c>
      <c r="F44" s="5">
        <v>-1.7100000753998802E-2</v>
      </c>
      <c r="G44" s="5">
        <v>-0.21410000324249301</v>
      </c>
      <c r="H44" s="5">
        <v>0.22570000588893899</v>
      </c>
      <c r="I44" s="5">
        <v>-1.4000000432133701E-2</v>
      </c>
      <c r="J44" s="48">
        <v>0</v>
      </c>
      <c r="K44" s="5">
        <v>-2.0000000949949E-3</v>
      </c>
    </row>
    <row r="45" spans="1:11" x14ac:dyDescent="0.3">
      <c r="A45" s="23" t="s">
        <v>20</v>
      </c>
      <c r="B45" s="5">
        <v>3.9000000804662698E-2</v>
      </c>
      <c r="C45" s="48">
        <v>0</v>
      </c>
      <c r="D45" s="5">
        <v>0.5</v>
      </c>
      <c r="E45" s="48">
        <v>0</v>
      </c>
      <c r="F45" s="5">
        <v>0</v>
      </c>
      <c r="G45" s="48">
        <v>0</v>
      </c>
      <c r="H45" s="48">
        <v>0.33390000462531999</v>
      </c>
      <c r="I45" s="5">
        <v>1.60000007599592E-2</v>
      </c>
      <c r="J45" s="5">
        <v>-2.0000000949949E-3</v>
      </c>
      <c r="K45" s="48">
        <v>0</v>
      </c>
    </row>
    <row r="49" spans="1:11" ht="15.6" x14ac:dyDescent="0.35">
      <c r="A49" s="9" t="s">
        <v>126</v>
      </c>
    </row>
    <row r="50" spans="1:11" x14ac:dyDescent="0.3">
      <c r="A50" s="7" t="s">
        <v>127</v>
      </c>
      <c r="B50" s="24">
        <v>1</v>
      </c>
      <c r="C50" s="24">
        <v>2</v>
      </c>
      <c r="D50" s="24">
        <v>3</v>
      </c>
      <c r="E50" s="24">
        <v>4</v>
      </c>
      <c r="F50" s="24">
        <v>5</v>
      </c>
      <c r="G50" s="24">
        <v>6</v>
      </c>
      <c r="H50" s="24">
        <v>7</v>
      </c>
      <c r="I50" s="24">
        <v>8</v>
      </c>
      <c r="J50" s="24">
        <v>9</v>
      </c>
      <c r="K50" s="24">
        <v>10</v>
      </c>
    </row>
    <row r="51" spans="1:11" x14ac:dyDescent="0.3">
      <c r="A51" s="23">
        <v>1</v>
      </c>
      <c r="B51" s="4">
        <v>0</v>
      </c>
      <c r="C51" s="5">
        <v>9.99990006675944E-5</v>
      </c>
      <c r="D51" s="4">
        <v>0.5</v>
      </c>
      <c r="E51" s="5">
        <v>2.0400000736117401E-2</v>
      </c>
      <c r="F51" s="5">
        <v>9.5600001513958005E-2</v>
      </c>
      <c r="G51" s="5">
        <v>3.9000000804662698E-2</v>
      </c>
      <c r="H51" s="5">
        <v>3.1199000775814101E-2</v>
      </c>
      <c r="I51" s="4">
        <v>0</v>
      </c>
      <c r="J51" s="4">
        <v>0</v>
      </c>
      <c r="K51" s="5">
        <v>-3.5000000149011598E-2</v>
      </c>
    </row>
    <row r="52" spans="1:11" x14ac:dyDescent="0.3">
      <c r="A52" s="23">
        <v>2</v>
      </c>
      <c r="B52" s="5">
        <v>9.99990006675944E-5</v>
      </c>
      <c r="C52" s="5">
        <v>0</v>
      </c>
      <c r="D52" s="4">
        <v>-0.754400014877319</v>
      </c>
      <c r="E52" s="5">
        <v>-6.9999002153053901E-4</v>
      </c>
      <c r="F52" s="5">
        <v>0.116400003433228</v>
      </c>
      <c r="G52" s="5">
        <v>0</v>
      </c>
      <c r="H52" s="5">
        <v>-1.00000004749745E-3</v>
      </c>
      <c r="I52" s="4">
        <v>0</v>
      </c>
      <c r="J52" s="4">
        <v>0</v>
      </c>
      <c r="K52" s="4">
        <v>0</v>
      </c>
    </row>
    <row r="53" spans="1:11" x14ac:dyDescent="0.3">
      <c r="A53" s="23">
        <v>3</v>
      </c>
      <c r="B53" s="5">
        <v>0.5</v>
      </c>
      <c r="C53" s="4">
        <v>-0.754400014877319</v>
      </c>
      <c r="D53" s="4">
        <v>0</v>
      </c>
      <c r="E53" s="5">
        <v>-0.55940002202987704</v>
      </c>
      <c r="F53" s="4">
        <v>-0.121546909213066</v>
      </c>
      <c r="G53" s="4">
        <v>0.5</v>
      </c>
      <c r="H53" s="5">
        <v>-0.69647556543350198</v>
      </c>
      <c r="I53" s="4">
        <v>0</v>
      </c>
      <c r="J53" s="4">
        <v>-0.27250000834464999</v>
      </c>
      <c r="K53" s="5">
        <v>-9.00000035762787E-2</v>
      </c>
    </row>
    <row r="54" spans="1:11" x14ac:dyDescent="0.3">
      <c r="A54" s="23">
        <v>4</v>
      </c>
      <c r="B54" s="5">
        <v>2.0400000736117401E-2</v>
      </c>
      <c r="C54" s="5">
        <v>-6.9999002153053901E-4</v>
      </c>
      <c r="D54" s="4">
        <v>-0.55940002202987704</v>
      </c>
      <c r="E54" s="4">
        <v>0</v>
      </c>
      <c r="F54" s="5">
        <v>0.116400003433228</v>
      </c>
      <c r="G54" s="4">
        <v>0</v>
      </c>
      <c r="H54" s="5">
        <v>1.30000002682209E-2</v>
      </c>
      <c r="I54" s="4">
        <v>0</v>
      </c>
      <c r="J54" s="4">
        <v>0</v>
      </c>
      <c r="K54" s="4">
        <v>0</v>
      </c>
    </row>
    <row r="55" spans="1:11" x14ac:dyDescent="0.3">
      <c r="A55" s="23">
        <v>5</v>
      </c>
      <c r="B55" s="5">
        <v>9.5600001513958005E-2</v>
      </c>
      <c r="C55" s="5">
        <v>0.116400003433228</v>
      </c>
      <c r="D55" s="4">
        <v>-0.121546909213066</v>
      </c>
      <c r="E55" s="4">
        <v>0.116400003433228</v>
      </c>
      <c r="F55" s="4">
        <v>0</v>
      </c>
      <c r="G55" s="4">
        <v>0</v>
      </c>
      <c r="H55" s="5">
        <v>-1.7100000753998802E-2</v>
      </c>
      <c r="I55" s="5">
        <v>9.74999964237213E-2</v>
      </c>
      <c r="J55" s="4">
        <v>0</v>
      </c>
      <c r="K55" s="5">
        <v>1.7000000923872001E-2</v>
      </c>
    </row>
    <row r="56" spans="1:11" x14ac:dyDescent="0.3">
      <c r="A56" s="23">
        <v>6</v>
      </c>
      <c r="B56" s="5">
        <v>3.9000000804662698E-2</v>
      </c>
      <c r="C56" s="4">
        <v>0</v>
      </c>
      <c r="D56" s="5">
        <v>0.5</v>
      </c>
      <c r="E56" s="4">
        <v>0</v>
      </c>
      <c r="F56" s="4">
        <v>0</v>
      </c>
      <c r="G56" s="4">
        <v>0</v>
      </c>
      <c r="H56" s="5">
        <v>-2.0000000949949E-3</v>
      </c>
      <c r="I56" s="5">
        <v>1.60000007599592E-2</v>
      </c>
      <c r="J56" s="4">
        <v>0.33390000462531999</v>
      </c>
      <c r="K56" s="4">
        <v>0</v>
      </c>
    </row>
    <row r="57" spans="1:11" x14ac:dyDescent="0.3">
      <c r="A57" s="23">
        <v>7</v>
      </c>
      <c r="B57" s="5">
        <v>3.1199000775814101E-2</v>
      </c>
      <c r="C57" s="5">
        <v>-1.00000004749745E-3</v>
      </c>
      <c r="D57" s="4">
        <v>-0.69647556543350198</v>
      </c>
      <c r="E57" s="5">
        <v>1.30000002682209E-2</v>
      </c>
      <c r="F57" s="5">
        <v>-1.7100000753998802E-2</v>
      </c>
      <c r="G57" s="5">
        <v>-2.0000000949949E-3</v>
      </c>
      <c r="H57" s="5">
        <v>0</v>
      </c>
      <c r="I57" s="5">
        <v>-1.4000000432133701E-2</v>
      </c>
      <c r="J57" s="4">
        <v>0.22570000588893899</v>
      </c>
      <c r="K57" s="4">
        <v>-0.21410000324249301</v>
      </c>
    </row>
    <row r="58" spans="1:11" x14ac:dyDescent="0.3">
      <c r="A58" s="23">
        <v>8</v>
      </c>
      <c r="B58" s="5">
        <v>0</v>
      </c>
      <c r="C58" s="5">
        <v>0</v>
      </c>
      <c r="D58" s="4">
        <v>0</v>
      </c>
      <c r="E58" s="5">
        <v>0</v>
      </c>
      <c r="F58" s="5">
        <v>9.74999964237213E-2</v>
      </c>
      <c r="G58" s="5">
        <v>1.60000007599592E-2</v>
      </c>
      <c r="H58" s="5">
        <v>-1.4000000432133701E-2</v>
      </c>
      <c r="I58" s="5">
        <v>0</v>
      </c>
      <c r="J58" s="4">
        <v>0</v>
      </c>
      <c r="K58" s="4">
        <v>0</v>
      </c>
    </row>
    <row r="59" spans="1:11" x14ac:dyDescent="0.3">
      <c r="A59" s="23">
        <v>9</v>
      </c>
      <c r="B59" s="4">
        <v>0</v>
      </c>
      <c r="C59" s="4">
        <v>0</v>
      </c>
      <c r="D59" s="4">
        <v>-0.27250000834464999</v>
      </c>
      <c r="E59" s="4">
        <v>0</v>
      </c>
      <c r="F59" s="5">
        <v>0</v>
      </c>
      <c r="G59" s="5">
        <v>0.33390000462531999</v>
      </c>
      <c r="H59" s="5">
        <v>0.22570000588893899</v>
      </c>
      <c r="I59" s="4">
        <v>0</v>
      </c>
      <c r="J59" s="4">
        <v>0</v>
      </c>
      <c r="K59" s="4">
        <v>0</v>
      </c>
    </row>
    <row r="60" spans="1:11" x14ac:dyDescent="0.3">
      <c r="A60" s="23">
        <v>10</v>
      </c>
      <c r="B60" s="5">
        <v>-3.5000000149011598E-2</v>
      </c>
      <c r="C60" s="4">
        <v>0</v>
      </c>
      <c r="D60" s="5">
        <v>-9.00000035762787E-2</v>
      </c>
      <c r="E60" s="4">
        <v>0</v>
      </c>
      <c r="F60" s="5">
        <v>1.7000000923872001E-2</v>
      </c>
      <c r="G60" s="4">
        <v>0</v>
      </c>
      <c r="H60" s="4">
        <v>-0.21410000324249301</v>
      </c>
      <c r="I60" s="4">
        <v>0</v>
      </c>
      <c r="J60" s="4">
        <v>0</v>
      </c>
      <c r="K60" s="4">
        <v>0</v>
      </c>
    </row>
    <row r="68" spans="1:11" ht="15.6" x14ac:dyDescent="0.35">
      <c r="A68" s="26" t="s">
        <v>129</v>
      </c>
    </row>
    <row r="69" spans="1:11" ht="15.6" x14ac:dyDescent="0.35">
      <c r="A69" s="12" t="s">
        <v>130</v>
      </c>
      <c r="B69" s="28">
        <f t="shared" ref="B69:K69" si="9">B30</f>
        <v>23563.975072957939</v>
      </c>
      <c r="C69" s="28">
        <f t="shared" si="9"/>
        <v>2757.3893688649382</v>
      </c>
      <c r="D69" s="28">
        <f t="shared" si="9"/>
        <v>290277.85328147281</v>
      </c>
      <c r="E69" s="28">
        <f t="shared" si="9"/>
        <v>742.71394359087549</v>
      </c>
      <c r="F69" s="28">
        <f t="shared" si="9"/>
        <v>29017.725723524381</v>
      </c>
      <c r="G69" s="28">
        <f t="shared" si="9"/>
        <v>6035.0322358828935</v>
      </c>
      <c r="H69" s="28">
        <f t="shared" si="9"/>
        <v>208.90988256784553</v>
      </c>
      <c r="I69" s="28">
        <f t="shared" si="9"/>
        <v>3571.4003052456437</v>
      </c>
      <c r="J69" s="28">
        <f t="shared" si="9"/>
        <v>94752.577703381452</v>
      </c>
      <c r="K69" s="28">
        <f t="shared" si="9"/>
        <v>172915.85589104003</v>
      </c>
    </row>
    <row r="70" spans="1:11" x14ac:dyDescent="0.3">
      <c r="A70" s="27">
        <f>B30</f>
        <v>23563.975072957939</v>
      </c>
      <c r="B70" s="4">
        <f>(SQRT(B$69*$A70)*(1-B51))</f>
        <v>23563.975072957939</v>
      </c>
      <c r="C70" s="5">
        <f>(SQRT(C$69*$A70)*(1-C51))</f>
        <v>8059.9044735717971</v>
      </c>
      <c r="D70" s="4">
        <f t="shared" ref="D70:K70" si="10">(SQRT(D$69*$A70)*(1-D51))</f>
        <v>41352.448836061594</v>
      </c>
      <c r="E70" s="4">
        <f t="shared" si="10"/>
        <v>4098.1121772713841</v>
      </c>
      <c r="F70" s="4">
        <f t="shared" si="10"/>
        <v>23649.203369554558</v>
      </c>
      <c r="G70" s="4">
        <f t="shared" si="10"/>
        <v>11460.075049303548</v>
      </c>
      <c r="H70" s="4">
        <f t="shared" si="10"/>
        <v>2149.5044466074323</v>
      </c>
      <c r="I70" s="4">
        <f t="shared" si="10"/>
        <v>9173.6790748511976</v>
      </c>
      <c r="J70" s="4">
        <f t="shared" si="10"/>
        <v>47251.956352102403</v>
      </c>
      <c r="K70" s="4">
        <f t="shared" si="10"/>
        <v>66066.612066704649</v>
      </c>
    </row>
    <row r="71" spans="1:11" x14ac:dyDescent="0.3">
      <c r="A71" s="27">
        <f>C30</f>
        <v>2757.3893688649382</v>
      </c>
      <c r="B71" s="4">
        <f>(SQRT(B$69*$A71)*(1-B52))</f>
        <v>8059.9044735717971</v>
      </c>
      <c r="C71" s="5">
        <f>(SQRT(C$69*$A71)*(1-C52))</f>
        <v>2757.3893688649382</v>
      </c>
      <c r="D71" s="4">
        <f t="shared" ref="D71:K71" si="11">(SQRT(D$69*$A71)*(1-D52))</f>
        <v>49634.610948010537</v>
      </c>
      <c r="E71" s="4">
        <f t="shared" si="11"/>
        <v>1432.0683038553234</v>
      </c>
      <c r="F71" s="4">
        <f t="shared" si="11"/>
        <v>7903.8090528388311</v>
      </c>
      <c r="G71" s="4">
        <f t="shared" si="11"/>
        <v>4079.3300587205113</v>
      </c>
      <c r="H71" s="4">
        <f t="shared" si="11"/>
        <v>759.7358469379684</v>
      </c>
      <c r="I71" s="4">
        <f t="shared" si="11"/>
        <v>3138.1110932606152</v>
      </c>
      <c r="J71" s="4">
        <f t="shared" si="11"/>
        <v>16163.840831678992</v>
      </c>
      <c r="K71" s="4">
        <f t="shared" si="11"/>
        <v>21835.666757443782</v>
      </c>
    </row>
    <row r="72" spans="1:11" x14ac:dyDescent="0.3">
      <c r="A72" s="27">
        <f>D30</f>
        <v>290277.85328147281</v>
      </c>
      <c r="B72" s="4">
        <f t="shared" ref="B72:K79" si="12">(SQRT(B$69*$A72)*(1-B53))</f>
        <v>41352.448836061594</v>
      </c>
      <c r="C72" s="4">
        <f t="shared" si="12"/>
        <v>49634.610948010537</v>
      </c>
      <c r="D72" s="4">
        <f t="shared" si="12"/>
        <v>290277.85328147281</v>
      </c>
      <c r="E72" s="4">
        <f t="shared" si="12"/>
        <v>22896.825589292068</v>
      </c>
      <c r="F72" s="4">
        <f t="shared" si="12"/>
        <v>102933.34351384106</v>
      </c>
      <c r="G72" s="4">
        <f t="shared" si="12"/>
        <v>20927.471191693068</v>
      </c>
      <c r="H72" s="4">
        <f t="shared" si="12"/>
        <v>13210.950113937501</v>
      </c>
      <c r="I72" s="4">
        <f t="shared" si="12"/>
        <v>32197.801381701549</v>
      </c>
      <c r="J72" s="4">
        <f t="shared" si="12"/>
        <v>211037.80540781026</v>
      </c>
      <c r="K72" s="4">
        <f t="shared" si="12"/>
        <v>244202.9241634254</v>
      </c>
    </row>
    <row r="73" spans="1:11" x14ac:dyDescent="0.3">
      <c r="A73" s="27">
        <f>E30</f>
        <v>742.71394359087549</v>
      </c>
      <c r="B73" s="4">
        <f t="shared" si="12"/>
        <v>4098.1121772713841</v>
      </c>
      <c r="C73" s="4">
        <f t="shared" si="12"/>
        <v>1432.0683038553234</v>
      </c>
      <c r="D73" s="4">
        <f t="shared" si="12"/>
        <v>22896.825589292068</v>
      </c>
      <c r="E73" s="4">
        <f t="shared" si="12"/>
        <v>742.71394359087549</v>
      </c>
      <c r="F73" s="4">
        <f t="shared" si="12"/>
        <v>4102.0238385738839</v>
      </c>
      <c r="G73" s="4">
        <f t="shared" si="12"/>
        <v>2117.1449151181509</v>
      </c>
      <c r="H73" s="4">
        <f t="shared" si="12"/>
        <v>388.78314957253167</v>
      </c>
      <c r="I73" s="4">
        <f t="shared" si="12"/>
        <v>1628.6585906354494</v>
      </c>
      <c r="J73" s="4">
        <f t="shared" si="12"/>
        <v>8388.9248805481202</v>
      </c>
      <c r="K73" s="4">
        <f t="shared" si="12"/>
        <v>11332.564459919293</v>
      </c>
    </row>
    <row r="74" spans="1:11" x14ac:dyDescent="0.3">
      <c r="A74" s="27">
        <f>F30</f>
        <v>29017.725723524381</v>
      </c>
      <c r="B74" s="4">
        <f t="shared" si="12"/>
        <v>23649.203369554558</v>
      </c>
      <c r="C74" s="4">
        <f t="shared" si="12"/>
        <v>7903.8090528388311</v>
      </c>
      <c r="D74" s="4">
        <f t="shared" si="12"/>
        <v>102933.34351384106</v>
      </c>
      <c r="E74" s="4">
        <f t="shared" si="12"/>
        <v>4102.0238385738839</v>
      </c>
      <c r="F74" s="4">
        <f t="shared" si="12"/>
        <v>29017.725723524381</v>
      </c>
      <c r="G74" s="4">
        <f t="shared" si="12"/>
        <v>13233.40130705171</v>
      </c>
      <c r="H74" s="4">
        <f t="shared" si="12"/>
        <v>2504.2335683903693</v>
      </c>
      <c r="I74" s="4">
        <f t="shared" si="12"/>
        <v>9187.5171698620361</v>
      </c>
      <c r="J74" s="4">
        <f t="shared" si="12"/>
        <v>52435.71599009262</v>
      </c>
      <c r="K74" s="4">
        <f t="shared" si="12"/>
        <v>69630.996819436303</v>
      </c>
    </row>
    <row r="75" spans="1:11" x14ac:dyDescent="0.3">
      <c r="A75" s="27">
        <f>G30</f>
        <v>6035.0322358828935</v>
      </c>
      <c r="B75" s="4">
        <f t="shared" si="12"/>
        <v>11460.075049303548</v>
      </c>
      <c r="C75" s="4">
        <f t="shared" si="12"/>
        <v>4079.3300587205113</v>
      </c>
      <c r="D75" s="4">
        <f t="shared" si="12"/>
        <v>20927.471191693068</v>
      </c>
      <c r="E75" s="4">
        <f t="shared" si="12"/>
        <v>2117.1449151181509</v>
      </c>
      <c r="F75" s="4">
        <f t="shared" si="12"/>
        <v>13233.40130705171</v>
      </c>
      <c r="G75" s="4">
        <f t="shared" si="12"/>
        <v>6035.0322358828935</v>
      </c>
      <c r="H75" s="4">
        <f t="shared" si="12"/>
        <v>1125.0893433615572</v>
      </c>
      <c r="I75" s="4">
        <f t="shared" si="12"/>
        <v>4568.2952100571847</v>
      </c>
      <c r="J75" s="4">
        <f t="shared" si="12"/>
        <v>15928.495037121305</v>
      </c>
      <c r="K75" s="4">
        <f t="shared" si="12"/>
        <v>32304.067304252996</v>
      </c>
    </row>
    <row r="76" spans="1:11" x14ac:dyDescent="0.3">
      <c r="A76" s="27">
        <f>H30</f>
        <v>208.90988256784553</v>
      </c>
      <c r="B76" s="4">
        <f t="shared" si="12"/>
        <v>2149.5044466074323</v>
      </c>
      <c r="C76" s="4">
        <f t="shared" si="12"/>
        <v>759.7358469379684</v>
      </c>
      <c r="D76" s="4">
        <f t="shared" si="12"/>
        <v>13210.950113937501</v>
      </c>
      <c r="E76" s="4">
        <f t="shared" si="12"/>
        <v>388.78314957253167</v>
      </c>
      <c r="F76" s="4">
        <f t="shared" si="12"/>
        <v>2504.2335683903693</v>
      </c>
      <c r="G76" s="4">
        <f t="shared" si="12"/>
        <v>1125.0893433615572</v>
      </c>
      <c r="H76" s="4">
        <f t="shared" si="12"/>
        <v>208.90988256784553</v>
      </c>
      <c r="I76" s="4">
        <f t="shared" si="12"/>
        <v>875.86407489992416</v>
      </c>
      <c r="J76" s="4">
        <f t="shared" si="12"/>
        <v>3444.9606474632201</v>
      </c>
      <c r="K76" s="4">
        <f t="shared" si="12"/>
        <v>7297.1178805691725</v>
      </c>
    </row>
    <row r="77" spans="1:11" x14ac:dyDescent="0.3">
      <c r="A77" s="27">
        <f>I30</f>
        <v>3571.4003052456437</v>
      </c>
      <c r="B77" s="4">
        <f t="shared" si="12"/>
        <v>9173.6790748511976</v>
      </c>
      <c r="C77" s="4">
        <f t="shared" si="12"/>
        <v>3138.1110932606152</v>
      </c>
      <c r="D77" s="4">
        <f t="shared" si="12"/>
        <v>32197.801381701549</v>
      </c>
      <c r="E77" s="4">
        <f t="shared" si="12"/>
        <v>1628.6585906354494</v>
      </c>
      <c r="F77" s="4">
        <f t="shared" si="12"/>
        <v>9187.5171698620361</v>
      </c>
      <c r="G77" s="4">
        <f t="shared" si="12"/>
        <v>4568.2952100571847</v>
      </c>
      <c r="H77" s="4">
        <f t="shared" si="12"/>
        <v>875.86407489992416</v>
      </c>
      <c r="I77" s="4">
        <f t="shared" si="12"/>
        <v>3571.4003052456437</v>
      </c>
      <c r="J77" s="4">
        <f t="shared" si="12"/>
        <v>18395.634942362496</v>
      </c>
      <c r="K77" s="4">
        <f t="shared" si="12"/>
        <v>24850.588333298514</v>
      </c>
    </row>
    <row r="78" spans="1:11" x14ac:dyDescent="0.3">
      <c r="A78" s="27">
        <f>J30</f>
        <v>94752.577703381452</v>
      </c>
      <c r="B78" s="4">
        <f t="shared" si="12"/>
        <v>47251.956352102403</v>
      </c>
      <c r="C78" s="4">
        <f t="shared" si="12"/>
        <v>16163.840831678992</v>
      </c>
      <c r="D78" s="4">
        <f t="shared" si="12"/>
        <v>211037.80540781026</v>
      </c>
      <c r="E78" s="4">
        <f t="shared" si="12"/>
        <v>8388.9248805481202</v>
      </c>
      <c r="F78" s="4">
        <f t="shared" si="12"/>
        <v>52435.71599009262</v>
      </c>
      <c r="G78" s="4">
        <f t="shared" si="12"/>
        <v>15928.495037121305</v>
      </c>
      <c r="H78" s="4">
        <f t="shared" si="12"/>
        <v>3444.9606474632201</v>
      </c>
      <c r="I78" s="4">
        <f t="shared" si="12"/>
        <v>18395.634942362496</v>
      </c>
      <c r="J78" s="4">
        <f t="shared" si="12"/>
        <v>94752.577703381452</v>
      </c>
      <c r="K78" s="4">
        <f t="shared" si="12"/>
        <v>128000.87136993435</v>
      </c>
    </row>
    <row r="79" spans="1:11" x14ac:dyDescent="0.3">
      <c r="A79" s="27">
        <f>K30</f>
        <v>172915.85589104003</v>
      </c>
      <c r="B79" s="4">
        <f t="shared" si="12"/>
        <v>66066.612066704649</v>
      </c>
      <c r="C79" s="4">
        <f t="shared" si="12"/>
        <v>21835.666757443782</v>
      </c>
      <c r="D79" s="4">
        <f t="shared" si="12"/>
        <v>244202.9241634254</v>
      </c>
      <c r="E79" s="4">
        <f t="shared" si="12"/>
        <v>11332.564459919293</v>
      </c>
      <c r="F79" s="4">
        <f t="shared" si="12"/>
        <v>69630.996819436303</v>
      </c>
      <c r="G79" s="4">
        <f t="shared" si="12"/>
        <v>32304.067304252996</v>
      </c>
      <c r="H79" s="4">
        <f t="shared" si="12"/>
        <v>7297.1178805691725</v>
      </c>
      <c r="I79" s="4">
        <f t="shared" si="12"/>
        <v>24850.588333298514</v>
      </c>
      <c r="J79" s="4">
        <f t="shared" si="12"/>
        <v>128000.87136993435</v>
      </c>
      <c r="K79" s="4">
        <f t="shared" si="12"/>
        <v>172915.85589104003</v>
      </c>
    </row>
    <row r="83" spans="1:11" x14ac:dyDescent="0.3">
      <c r="A83" s="1"/>
      <c r="B83" s="1"/>
      <c r="C83" s="1"/>
      <c r="D83" s="1"/>
      <c r="E83" s="1"/>
      <c r="F83" s="1"/>
      <c r="G83" s="1"/>
    </row>
    <row r="84" spans="1:11" ht="15.6" x14ac:dyDescent="0.35">
      <c r="A84" s="11" t="s">
        <v>131</v>
      </c>
    </row>
    <row r="85" spans="1:11" ht="15.6" x14ac:dyDescent="0.35">
      <c r="A85" s="7" t="s">
        <v>132</v>
      </c>
      <c r="B85" s="24">
        <f t="shared" ref="B85:K85" si="13">B21</f>
        <v>5.6064625028032299E-2</v>
      </c>
      <c r="C85" s="24">
        <f t="shared" si="13"/>
        <v>0.35036280317518098</v>
      </c>
      <c r="D85" s="24">
        <f t="shared" si="13"/>
        <v>0.43830151021915098</v>
      </c>
      <c r="E85" s="24">
        <f t="shared" si="13"/>
        <v>6.4888090032444001E-2</v>
      </c>
      <c r="F85" s="24">
        <f t="shared" si="13"/>
        <v>8.7883903043941905E-2</v>
      </c>
      <c r="G85" s="24">
        <f t="shared" si="13"/>
        <v>3.2882500016441298E-5</v>
      </c>
      <c r="H85" s="24">
        <f t="shared" si="13"/>
        <v>2.46618600123309E-3</v>
      </c>
      <c r="I85" s="24">
        <f t="shared" si="13"/>
        <v>0</v>
      </c>
      <c r="J85" s="24">
        <f t="shared" si="13"/>
        <v>0</v>
      </c>
      <c r="K85" s="24">
        <f t="shared" si="13"/>
        <v>0</v>
      </c>
    </row>
    <row r="86" spans="1:11" x14ac:dyDescent="0.3">
      <c r="A86" s="23">
        <f>B21</f>
        <v>5.6064625028032299E-2</v>
      </c>
      <c r="B86" s="4">
        <f>B$85*$A86*B70</f>
        <v>74.067280366805988</v>
      </c>
      <c r="C86" s="4">
        <f t="shared" ref="C86:K86" si="14">C$85*$A86*C70</f>
        <v>158.3203745995915</v>
      </c>
      <c r="D86" s="4">
        <f t="shared" si="14"/>
        <v>1016.162401805171</v>
      </c>
      <c r="E86" s="4">
        <f t="shared" si="14"/>
        <v>14.908630629250339</v>
      </c>
      <c r="F86" s="4">
        <f t="shared" si="14"/>
        <v>116.52383621918888</v>
      </c>
      <c r="G86" s="4">
        <f t="shared" si="14"/>
        <v>2.1127164439604117E-2</v>
      </c>
      <c r="H86" s="4">
        <f t="shared" si="14"/>
        <v>0.29720293774530887</v>
      </c>
      <c r="I86" s="4">
        <f t="shared" si="14"/>
        <v>0</v>
      </c>
      <c r="J86" s="4">
        <f t="shared" si="14"/>
        <v>0</v>
      </c>
      <c r="K86" s="4">
        <f t="shared" si="14"/>
        <v>0</v>
      </c>
    </row>
    <row r="87" spans="1:11" x14ac:dyDescent="0.3">
      <c r="A87" s="23">
        <f>C21</f>
        <v>0.35036280317518098</v>
      </c>
      <c r="B87" s="4">
        <f t="shared" ref="B87:K95" si="15">B$85*$A87*B71</f>
        <v>158.3203745995915</v>
      </c>
      <c r="C87" s="4">
        <f t="shared" si="15"/>
        <v>338.48083336324896</v>
      </c>
      <c r="D87" s="4">
        <f t="shared" si="15"/>
        <v>7622.1164840217625</v>
      </c>
      <c r="E87" s="4">
        <f t="shared" si="15"/>
        <v>32.557175148089478</v>
      </c>
      <c r="F87" s="4">
        <f t="shared" si="15"/>
        <v>243.36816543376753</v>
      </c>
      <c r="G87" s="4">
        <f t="shared" si="15"/>
        <v>4.6997165652403868E-2</v>
      </c>
      <c r="H87" s="4">
        <f t="shared" si="15"/>
        <v>0.6564572347603379</v>
      </c>
      <c r="I87" s="4">
        <f t="shared" si="15"/>
        <v>0</v>
      </c>
      <c r="J87" s="4">
        <f t="shared" si="15"/>
        <v>0</v>
      </c>
      <c r="K87" s="4">
        <f t="shared" si="15"/>
        <v>0</v>
      </c>
    </row>
    <row r="88" spans="1:11" x14ac:dyDescent="0.3">
      <c r="A88" s="23">
        <f>D21</f>
        <v>0.43830151021915098</v>
      </c>
      <c r="B88" s="4">
        <f t="shared" si="15"/>
        <v>1016.162401805171</v>
      </c>
      <c r="C88" s="4">
        <f t="shared" si="15"/>
        <v>7622.1164840217625</v>
      </c>
      <c r="D88" s="4">
        <f t="shared" si="15"/>
        <v>55764.759917131654</v>
      </c>
      <c r="E88" s="4">
        <f t="shared" si="15"/>
        <v>651.19826393319761</v>
      </c>
      <c r="F88" s="4">
        <f t="shared" si="15"/>
        <v>3964.9561007500174</v>
      </c>
      <c r="G88" s="4">
        <f t="shared" si="15"/>
        <v>0.30161611997573901</v>
      </c>
      <c r="H88" s="4">
        <f t="shared" si="15"/>
        <v>14.280152584491068</v>
      </c>
      <c r="I88" s="4">
        <f t="shared" si="15"/>
        <v>0</v>
      </c>
      <c r="J88" s="4">
        <f t="shared" si="15"/>
        <v>0</v>
      </c>
      <c r="K88" s="4">
        <f t="shared" si="15"/>
        <v>0</v>
      </c>
    </row>
    <row r="89" spans="1:11" x14ac:dyDescent="0.3">
      <c r="A89" s="23">
        <f>E21</f>
        <v>6.4888090032444001E-2</v>
      </c>
      <c r="B89" s="4">
        <f t="shared" si="15"/>
        <v>14.908630629250339</v>
      </c>
      <c r="C89" s="4">
        <f t="shared" si="15"/>
        <v>32.557175148089478</v>
      </c>
      <c r="D89" s="4">
        <f t="shared" si="15"/>
        <v>651.19826393319761</v>
      </c>
      <c r="E89" s="4">
        <f t="shared" si="15"/>
        <v>3.1271704911696836</v>
      </c>
      <c r="F89" s="4">
        <f t="shared" si="15"/>
        <v>23.39227749330469</v>
      </c>
      <c r="G89" s="4">
        <f t="shared" si="15"/>
        <v>4.5173153127089343E-3</v>
      </c>
      <c r="H89" s="4">
        <f t="shared" si="15"/>
        <v>6.2215450893737909E-2</v>
      </c>
      <c r="I89" s="4">
        <f t="shared" si="15"/>
        <v>0</v>
      </c>
      <c r="J89" s="4">
        <f t="shared" si="15"/>
        <v>0</v>
      </c>
      <c r="K89" s="4">
        <f t="shared" si="15"/>
        <v>0</v>
      </c>
    </row>
    <row r="90" spans="1:11" x14ac:dyDescent="0.3">
      <c r="A90" s="23">
        <f>F21</f>
        <v>8.7883903043941905E-2</v>
      </c>
      <c r="B90" s="4">
        <f t="shared" si="15"/>
        <v>116.52383621918888</v>
      </c>
      <c r="C90" s="4">
        <f t="shared" si="15"/>
        <v>243.36816543376753</v>
      </c>
      <c r="D90" s="4">
        <f t="shared" si="15"/>
        <v>3964.9561007500174</v>
      </c>
      <c r="E90" s="4">
        <f t="shared" si="15"/>
        <v>23.39227749330469</v>
      </c>
      <c r="F90" s="4">
        <f t="shared" si="15"/>
        <v>224.12073806391356</v>
      </c>
      <c r="G90" s="4">
        <f t="shared" si="15"/>
        <v>3.8242444766172258E-2</v>
      </c>
      <c r="H90" s="4">
        <f t="shared" si="15"/>
        <v>0.54276270391522408</v>
      </c>
      <c r="I90" s="4">
        <f t="shared" si="15"/>
        <v>0</v>
      </c>
      <c r="J90" s="4">
        <f t="shared" si="15"/>
        <v>0</v>
      </c>
      <c r="K90" s="4">
        <f t="shared" si="15"/>
        <v>0</v>
      </c>
    </row>
    <row r="91" spans="1:11" x14ac:dyDescent="0.3">
      <c r="A91" s="23">
        <f>G21</f>
        <v>3.2882500016441298E-5</v>
      </c>
      <c r="B91" s="4">
        <f t="shared" si="15"/>
        <v>2.1127164439604117E-2</v>
      </c>
      <c r="C91" s="4">
        <f t="shared" si="15"/>
        <v>4.6997165652403868E-2</v>
      </c>
      <c r="D91" s="4">
        <f t="shared" si="15"/>
        <v>0.30161611997573901</v>
      </c>
      <c r="E91" s="4">
        <f t="shared" si="15"/>
        <v>4.5173153127089343E-3</v>
      </c>
      <c r="F91" s="4">
        <f t="shared" si="15"/>
        <v>3.8242444766172258E-2</v>
      </c>
      <c r="G91" s="4">
        <f t="shared" si="15"/>
        <v>6.5254317575764569E-6</v>
      </c>
      <c r="H91" s="4">
        <f t="shared" si="15"/>
        <v>9.123840162219146E-5</v>
      </c>
      <c r="I91" s="4">
        <f t="shared" si="15"/>
        <v>0</v>
      </c>
      <c r="J91" s="4">
        <f t="shared" si="15"/>
        <v>0</v>
      </c>
      <c r="K91" s="4">
        <f t="shared" si="15"/>
        <v>0</v>
      </c>
    </row>
    <row r="92" spans="1:11" x14ac:dyDescent="0.3">
      <c r="A92" s="23">
        <f>H21</f>
        <v>2.46618600123309E-3</v>
      </c>
      <c r="B92" s="4">
        <f t="shared" si="15"/>
        <v>0.29720293774530887</v>
      </c>
      <c r="C92" s="4">
        <f t="shared" si="15"/>
        <v>0.6564572347603379</v>
      </c>
      <c r="D92" s="4">
        <f t="shared" si="15"/>
        <v>14.280152584491068</v>
      </c>
      <c r="E92" s="4">
        <f t="shared" si="15"/>
        <v>6.2215450893737909E-2</v>
      </c>
      <c r="F92" s="4">
        <f t="shared" si="15"/>
        <v>0.54276270391522408</v>
      </c>
      <c r="G92" s="4">
        <f t="shared" si="15"/>
        <v>9.123840162219146E-5</v>
      </c>
      <c r="H92" s="4">
        <f t="shared" si="15"/>
        <v>1.2706052382333911E-3</v>
      </c>
      <c r="I92" s="4">
        <f t="shared" si="15"/>
        <v>0</v>
      </c>
      <c r="J92" s="4">
        <f t="shared" si="15"/>
        <v>0</v>
      </c>
      <c r="K92" s="4">
        <f t="shared" si="15"/>
        <v>0</v>
      </c>
    </row>
    <row r="93" spans="1:11" x14ac:dyDescent="0.3">
      <c r="A93" s="23">
        <f>I21</f>
        <v>0</v>
      </c>
      <c r="B93" s="4">
        <f t="shared" si="15"/>
        <v>0</v>
      </c>
      <c r="C93" s="4">
        <f t="shared" si="15"/>
        <v>0</v>
      </c>
      <c r="D93" s="4">
        <f t="shared" si="15"/>
        <v>0</v>
      </c>
      <c r="E93" s="4">
        <f t="shared" si="15"/>
        <v>0</v>
      </c>
      <c r="F93" s="4">
        <f t="shared" si="15"/>
        <v>0</v>
      </c>
      <c r="G93" s="4">
        <f t="shared" si="15"/>
        <v>0</v>
      </c>
      <c r="H93" s="4">
        <f t="shared" si="15"/>
        <v>0</v>
      </c>
      <c r="I93" s="4">
        <f t="shared" si="15"/>
        <v>0</v>
      </c>
      <c r="J93" s="4">
        <f t="shared" si="15"/>
        <v>0</v>
      </c>
      <c r="K93" s="4">
        <f t="shared" si="15"/>
        <v>0</v>
      </c>
    </row>
    <row r="94" spans="1:11" x14ac:dyDescent="0.3">
      <c r="A94" s="23">
        <f>J21</f>
        <v>0</v>
      </c>
      <c r="B94" s="4">
        <f t="shared" si="15"/>
        <v>0</v>
      </c>
      <c r="C94" s="4">
        <f t="shared" si="15"/>
        <v>0</v>
      </c>
      <c r="D94" s="4">
        <f t="shared" si="15"/>
        <v>0</v>
      </c>
      <c r="E94" s="4">
        <f t="shared" si="15"/>
        <v>0</v>
      </c>
      <c r="F94" s="4">
        <f t="shared" si="15"/>
        <v>0</v>
      </c>
      <c r="G94" s="4">
        <f t="shared" si="15"/>
        <v>0</v>
      </c>
      <c r="H94" s="4">
        <f t="shared" si="15"/>
        <v>0</v>
      </c>
      <c r="I94" s="4">
        <f t="shared" si="15"/>
        <v>0</v>
      </c>
      <c r="J94" s="4">
        <f t="shared" si="15"/>
        <v>0</v>
      </c>
      <c r="K94" s="4">
        <f t="shared" si="15"/>
        <v>0</v>
      </c>
    </row>
    <row r="95" spans="1:11" x14ac:dyDescent="0.3">
      <c r="A95" s="23">
        <f>K21</f>
        <v>0</v>
      </c>
      <c r="B95" s="4">
        <f t="shared" si="15"/>
        <v>0</v>
      </c>
      <c r="C95" s="4">
        <f t="shared" si="15"/>
        <v>0</v>
      </c>
      <c r="D95" s="4">
        <f t="shared" si="15"/>
        <v>0</v>
      </c>
      <c r="E95" s="4">
        <f t="shared" si="15"/>
        <v>0</v>
      </c>
      <c r="F95" s="4">
        <f t="shared" si="15"/>
        <v>0</v>
      </c>
      <c r="G95" s="4">
        <f t="shared" si="15"/>
        <v>0</v>
      </c>
      <c r="H95" s="4">
        <f t="shared" si="15"/>
        <v>0</v>
      </c>
      <c r="I95" s="4">
        <f t="shared" si="15"/>
        <v>0</v>
      </c>
      <c r="J95" s="4">
        <f t="shared" si="15"/>
        <v>0</v>
      </c>
      <c r="K95" s="4">
        <f t="shared" si="15"/>
        <v>0</v>
      </c>
    </row>
    <row r="99" spans="1:12" x14ac:dyDescent="0.3">
      <c r="A99" s="4" t="str">
        <f t="shared" ref="A99:K99" si="16">A21</f>
        <v>Mole Fraction, xi</v>
      </c>
      <c r="B99" s="4">
        <f t="shared" si="16"/>
        <v>5.6064625028032299E-2</v>
      </c>
      <c r="C99" s="4">
        <f t="shared" si="16"/>
        <v>0.35036280317518098</v>
      </c>
      <c r="D99" s="4">
        <f t="shared" si="16"/>
        <v>0.43830151021915098</v>
      </c>
      <c r="E99" s="4">
        <f t="shared" si="16"/>
        <v>6.4888090032444001E-2</v>
      </c>
      <c r="F99" s="4">
        <f t="shared" si="16"/>
        <v>8.7883903043941905E-2</v>
      </c>
      <c r="G99" s="4">
        <f t="shared" si="16"/>
        <v>3.2882500016441298E-5</v>
      </c>
      <c r="H99" s="4">
        <f t="shared" si="16"/>
        <v>2.46618600123309E-3</v>
      </c>
      <c r="I99" s="4">
        <f t="shared" si="16"/>
        <v>0</v>
      </c>
      <c r="J99" s="4">
        <f t="shared" si="16"/>
        <v>0</v>
      </c>
      <c r="K99" s="4">
        <f t="shared" si="16"/>
        <v>0</v>
      </c>
    </row>
    <row r="100" spans="1:12" x14ac:dyDescent="0.3">
      <c r="A100" s="4" t="str">
        <f t="shared" ref="A100:K100" si="17">A26</f>
        <v>bi</v>
      </c>
      <c r="B100" s="4">
        <f t="shared" si="17"/>
        <v>29.822236502982935</v>
      </c>
      <c r="C100" s="4">
        <f t="shared" si="17"/>
        <v>18.495108614637878</v>
      </c>
      <c r="D100" s="4">
        <f t="shared" si="17"/>
        <v>21.080121663317289</v>
      </c>
      <c r="E100" s="4">
        <f t="shared" si="17"/>
        <v>27.361107167868042</v>
      </c>
      <c r="F100" s="4">
        <f t="shared" si="17"/>
        <v>29.685050872965803</v>
      </c>
      <c r="G100" s="4">
        <f t="shared" si="17"/>
        <v>22.193361519524831</v>
      </c>
      <c r="H100" s="4">
        <f t="shared" si="17"/>
        <v>26.764299263394239</v>
      </c>
      <c r="I100" s="4">
        <f t="shared" si="17"/>
        <v>22.083766681580162</v>
      </c>
      <c r="J100" s="4">
        <f t="shared" si="17"/>
        <v>25.989390041426933</v>
      </c>
      <c r="K100" s="4">
        <f t="shared" si="17"/>
        <v>45.610069187003702</v>
      </c>
    </row>
    <row r="101" spans="1:12" x14ac:dyDescent="0.3">
      <c r="A101" s="4" t="s">
        <v>136</v>
      </c>
      <c r="B101" s="4">
        <f>B99*B100</f>
        <v>1.6719725070370355</v>
      </c>
      <c r="C101" s="4">
        <f t="shared" ref="C101:K101" si="18">C99*C100</f>
        <v>6.4799980992539652</v>
      </c>
      <c r="D101" s="4">
        <f t="shared" si="18"/>
        <v>9.2394491606354094</v>
      </c>
      <c r="E101" s="4">
        <f t="shared" si="18"/>
        <v>1.7754099852959704</v>
      </c>
      <c r="F101" s="4">
        <f t="shared" si="18"/>
        <v>2.6088381327742098</v>
      </c>
      <c r="G101" s="4">
        <f t="shared" si="18"/>
        <v>7.2977321053066297E-4</v>
      </c>
      <c r="H101" s="4">
        <f t="shared" si="18"/>
        <v>6.6005740176195982E-2</v>
      </c>
      <c r="I101" s="4">
        <f t="shared" si="18"/>
        <v>0</v>
      </c>
      <c r="J101" s="4">
        <f t="shared" si="18"/>
        <v>0</v>
      </c>
      <c r="K101" s="4">
        <f t="shared" si="18"/>
        <v>0</v>
      </c>
    </row>
    <row r="106" spans="1:12" ht="18" x14ac:dyDescent="0.3">
      <c r="A106" s="78" t="s">
        <v>133</v>
      </c>
      <c r="B106" s="78"/>
      <c r="C106" s="78"/>
      <c r="D106" s="78"/>
      <c r="F106" s="77" t="s">
        <v>144</v>
      </c>
      <c r="G106" s="77"/>
      <c r="H106" s="77"/>
      <c r="I106" s="77"/>
      <c r="J106" s="77"/>
      <c r="K106" s="77"/>
      <c r="L106" s="77"/>
    </row>
    <row r="107" spans="1:12" ht="18" x14ac:dyDescent="0.3">
      <c r="A107" s="16" t="s">
        <v>134</v>
      </c>
      <c r="B107" s="16">
        <f>SUM(B86:K95)</f>
        <v>84124.067401334803</v>
      </c>
      <c r="C107" s="17"/>
      <c r="D107" s="15"/>
    </row>
    <row r="108" spans="1:12" ht="18" x14ac:dyDescent="0.3">
      <c r="A108" s="17" t="s">
        <v>135</v>
      </c>
      <c r="B108" s="17">
        <f>SUM(B101:K101)</f>
        <v>21.842403398383315</v>
      </c>
      <c r="C108" s="16"/>
      <c r="D108" s="15"/>
      <c r="F108" s="4" t="s">
        <v>145</v>
      </c>
      <c r="G108" s="4">
        <f>((3*B117)-(B116^2))/3</f>
        <v>-0.33733234177393889</v>
      </c>
    </row>
    <row r="109" spans="1:12" x14ac:dyDescent="0.3">
      <c r="A109" s="13"/>
      <c r="B109" s="13"/>
      <c r="C109" s="13"/>
      <c r="D109" s="13"/>
      <c r="F109" s="4" t="s">
        <v>146</v>
      </c>
      <c r="G109" s="4">
        <f>((2*B116^3)-(9*B116*B117)+(27*B118))/27</f>
        <v>-7.5428577652641507E-2</v>
      </c>
    </row>
    <row r="110" spans="1:12" ht="15.6" x14ac:dyDescent="0.3">
      <c r="A110" s="14" t="s">
        <v>137</v>
      </c>
      <c r="B110" s="14">
        <f>(B107*B9)/((B5*B8)^2)</f>
        <v>3.0650398452892222E-3</v>
      </c>
      <c r="C110" s="13"/>
      <c r="D110" s="13"/>
      <c r="F110" s="4" t="s">
        <v>147</v>
      </c>
      <c r="G110" s="4">
        <f>((G109^2)/4)+((G108^3)/27)</f>
        <v>6.6032717524586344E-7</v>
      </c>
    </row>
    <row r="111" spans="1:12" ht="15.6" x14ac:dyDescent="0.3">
      <c r="A111" s="14" t="s">
        <v>138</v>
      </c>
      <c r="B111" s="14">
        <f>(B108*B9)/(B5*B8)</f>
        <v>7.0148403014400982E-3</v>
      </c>
      <c r="C111" s="13"/>
      <c r="D111" s="13"/>
    </row>
    <row r="112" spans="1:12" x14ac:dyDescent="0.3">
      <c r="F112" s="79" t="s">
        <v>150</v>
      </c>
      <c r="G112" s="79"/>
      <c r="H112" s="79"/>
      <c r="I112" s="79"/>
      <c r="J112" s="79"/>
      <c r="K112" s="79"/>
    </row>
    <row r="113" spans="1:13" x14ac:dyDescent="0.3">
      <c r="F113" s="79" t="s">
        <v>151</v>
      </c>
      <c r="G113" s="79"/>
      <c r="H113" s="79"/>
      <c r="I113" s="79"/>
      <c r="J113" s="79"/>
      <c r="K113" s="79"/>
    </row>
    <row r="114" spans="1:13" x14ac:dyDescent="0.3">
      <c r="A114" s="79" t="s">
        <v>139</v>
      </c>
      <c r="B114" s="79"/>
      <c r="C114" s="79"/>
      <c r="D114" s="79"/>
      <c r="E114" s="79"/>
    </row>
    <row r="115" spans="1:13" x14ac:dyDescent="0.3">
      <c r="A115" s="4" t="s">
        <v>142</v>
      </c>
      <c r="B115" s="4">
        <v>1</v>
      </c>
    </row>
    <row r="116" spans="1:13" x14ac:dyDescent="0.3">
      <c r="A116" s="4" t="s">
        <v>141</v>
      </c>
      <c r="B116" s="4">
        <v>-1</v>
      </c>
    </row>
    <row r="117" spans="1:13" x14ac:dyDescent="0.3">
      <c r="A117" s="4" t="s">
        <v>140</v>
      </c>
      <c r="B117" s="4">
        <f>B110-B111-B111^2</f>
        <v>-3.9990084406055842E-3</v>
      </c>
    </row>
    <row r="118" spans="1:13" x14ac:dyDescent="0.3">
      <c r="A118" s="4" t="s">
        <v>143</v>
      </c>
      <c r="B118" s="4">
        <f>-B110*B111</f>
        <v>-2.1500765032254561E-5</v>
      </c>
    </row>
    <row r="122" spans="1:13" x14ac:dyDescent="0.3">
      <c r="A122" s="77" t="s">
        <v>148</v>
      </c>
      <c r="B122" s="77"/>
      <c r="C122" s="77"/>
      <c r="D122" s="77"/>
      <c r="E122" s="77"/>
      <c r="F122" s="13"/>
      <c r="G122" s="77" t="s">
        <v>149</v>
      </c>
      <c r="H122" s="77"/>
      <c r="I122" s="77"/>
      <c r="J122" s="77"/>
      <c r="K122" s="77"/>
      <c r="L122" s="77"/>
      <c r="M122" s="77"/>
    </row>
    <row r="124" spans="1:13" x14ac:dyDescent="0.3">
      <c r="A124" s="4" t="s">
        <v>152</v>
      </c>
      <c r="B124" s="4">
        <f>(-($G$109/2)-SQRT($G$110))^(1/3)</f>
        <v>0.33292677750598104</v>
      </c>
      <c r="G124" s="4" t="s">
        <v>124</v>
      </c>
      <c r="H124" s="4">
        <f>2*SQRT(-G108/3)</f>
        <v>0.67065375246738557</v>
      </c>
    </row>
    <row r="125" spans="1:13" x14ac:dyDescent="0.3">
      <c r="A125" s="4" t="s">
        <v>153</v>
      </c>
      <c r="B125" s="4">
        <f>(-($G$109/2)+SQRT($G$110))^(1/3)</f>
        <v>0.33774427748643993</v>
      </c>
      <c r="G125" s="4" t="s">
        <v>152</v>
      </c>
      <c r="H125" s="4">
        <f>(3*G109)/(G108*H124)</f>
        <v>1.0002322034008577</v>
      </c>
      <c r="J125" s="4" t="s">
        <v>157</v>
      </c>
      <c r="K125" s="4" t="e">
        <f>($H$124*COS($H$128))-(B116/3)</f>
        <v>#NUM!</v>
      </c>
    </row>
    <row r="126" spans="1:13" x14ac:dyDescent="0.3">
      <c r="J126" s="4" t="s">
        <v>158</v>
      </c>
      <c r="K126" s="4" t="e">
        <f>($H$124*COS($H$128 +((4*PI())/3)))-(B116/3)</f>
        <v>#NUM!</v>
      </c>
    </row>
    <row r="127" spans="1:13" x14ac:dyDescent="0.3">
      <c r="A127" s="4" t="s">
        <v>154</v>
      </c>
      <c r="B127" s="4">
        <f>B124+B125-(B116/3)</f>
        <v>1.0040043883257543</v>
      </c>
      <c r="G127" s="4" t="s">
        <v>155</v>
      </c>
      <c r="H127" s="4" t="e">
        <f>ACOS(H125)</f>
        <v>#NUM!</v>
      </c>
      <c r="J127" s="4" t="s">
        <v>159</v>
      </c>
      <c r="K127" s="4" t="e">
        <f>($H$124*COS($H$128 +((2*PI())/3)))-(B116/3)</f>
        <v>#NUM!</v>
      </c>
    </row>
    <row r="128" spans="1:13" x14ac:dyDescent="0.3">
      <c r="G128" s="4" t="s">
        <v>156</v>
      </c>
      <c r="H128" s="4" t="e">
        <f>H127/3</f>
        <v>#NUM!</v>
      </c>
    </row>
  </sheetData>
  <mergeCells count="18">
    <mergeCell ref="E10:F12"/>
    <mergeCell ref="E14:F14"/>
    <mergeCell ref="A3:L3"/>
    <mergeCell ref="A1:L2"/>
    <mergeCell ref="G7:I7"/>
    <mergeCell ref="E7:F7"/>
    <mergeCell ref="I8:J8"/>
    <mergeCell ref="E13:F13"/>
    <mergeCell ref="G13:I13"/>
    <mergeCell ref="E15:J15"/>
    <mergeCell ref="A122:E122"/>
    <mergeCell ref="G122:M122"/>
    <mergeCell ref="A34:I34"/>
    <mergeCell ref="A106:D106"/>
    <mergeCell ref="A114:E114"/>
    <mergeCell ref="F106:L106"/>
    <mergeCell ref="F112:K112"/>
    <mergeCell ref="F113:K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CAF8-9E18-4E54-9D7A-44686B6A73C6}">
  <dimension ref="A1:M127"/>
  <sheetViews>
    <sheetView topLeftCell="A13" workbookViewId="0">
      <selection activeCell="B5" sqref="B5:B8"/>
    </sheetView>
  </sheetViews>
  <sheetFormatPr defaultRowHeight="14.4" x14ac:dyDescent="0.3"/>
  <cols>
    <col min="1" max="1" width="33.88671875" style="48" customWidth="1"/>
    <col min="2" max="2" width="16.5546875" style="48" customWidth="1"/>
    <col min="3" max="3" width="14.77734375" style="48" customWidth="1"/>
    <col min="4" max="4" width="14" style="48" customWidth="1"/>
    <col min="5" max="5" width="14.77734375" style="48" customWidth="1"/>
    <col min="6" max="6" width="17.88671875" style="48" customWidth="1"/>
    <col min="7" max="7" width="12.88671875" style="48" customWidth="1"/>
    <col min="8" max="8" width="12.21875" style="48" customWidth="1"/>
    <col min="9" max="9" width="12.33203125" style="48" customWidth="1"/>
    <col min="10" max="10" width="14.21875" style="48" customWidth="1"/>
    <col min="11" max="12" width="14" style="48" customWidth="1"/>
    <col min="13" max="13" width="8.88671875" style="48" customWidth="1"/>
    <col min="14" max="16384" width="8.88671875" style="48"/>
  </cols>
  <sheetData>
    <row r="1" spans="1:13" ht="31.2" customHeight="1" x14ac:dyDescent="0.3">
      <c r="A1" s="81" t="s">
        <v>185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3" ht="31.2" customHeight="1" x14ac:dyDescent="0.3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3" ht="19.2" customHeight="1" x14ac:dyDescent="0.3">
      <c r="A3" s="3"/>
      <c r="B3" s="3"/>
      <c r="C3" s="3"/>
    </row>
    <row r="4" spans="1:13" ht="22.8" customHeight="1" x14ac:dyDescent="0.3">
      <c r="A4" s="31" t="s">
        <v>177</v>
      </c>
      <c r="B4" s="32">
        <v>8.3144626181532395</v>
      </c>
      <c r="C4" s="31" t="s">
        <v>178</v>
      </c>
      <c r="J4" s="1"/>
      <c r="K4" s="1"/>
      <c r="L4" s="1"/>
      <c r="M4" s="1"/>
    </row>
    <row r="5" spans="1:13" ht="22.8" customHeight="1" x14ac:dyDescent="0.3">
      <c r="A5" s="29" t="s">
        <v>172</v>
      </c>
      <c r="B5" s="30">
        <v>787</v>
      </c>
      <c r="C5" s="29" t="s">
        <v>175</v>
      </c>
      <c r="E5" s="19"/>
      <c r="F5" s="19"/>
      <c r="G5" s="19"/>
      <c r="H5" s="18"/>
      <c r="I5" s="18"/>
    </row>
    <row r="6" spans="1:13" ht="22.8" customHeight="1" x14ac:dyDescent="0.3">
      <c r="A6" s="29" t="s">
        <v>173</v>
      </c>
      <c r="B6" s="30">
        <v>29.9</v>
      </c>
      <c r="C6" s="29" t="s">
        <v>176</v>
      </c>
      <c r="E6" s="82" t="s">
        <v>161</v>
      </c>
      <c r="F6" s="84"/>
      <c r="G6" s="82" t="s">
        <v>162</v>
      </c>
      <c r="H6" s="83"/>
      <c r="I6" s="84"/>
    </row>
    <row r="7" spans="1:13" ht="33.6" customHeight="1" x14ac:dyDescent="0.3">
      <c r="A7" s="33" t="s">
        <v>172</v>
      </c>
      <c r="B7" s="34">
        <f>B5+273.15</f>
        <v>1060.1500000000001</v>
      </c>
      <c r="C7" s="33" t="s">
        <v>0</v>
      </c>
      <c r="E7" s="33" t="s">
        <v>163</v>
      </c>
      <c r="F7" s="36">
        <f>B7</f>
        <v>1060.1500000000001</v>
      </c>
      <c r="G7" s="49" t="s">
        <v>164</v>
      </c>
      <c r="H7" s="49" t="s">
        <v>165</v>
      </c>
      <c r="I7" s="76" t="s">
        <v>166</v>
      </c>
      <c r="J7" s="76"/>
    </row>
    <row r="8" spans="1:13" ht="28.2" customHeight="1" x14ac:dyDescent="0.3">
      <c r="A8" s="33" t="s">
        <v>173</v>
      </c>
      <c r="B8" s="35">
        <f>ABS((B6-1.03323)*0.0980665)</f>
        <v>2.8308631002049998</v>
      </c>
      <c r="C8" s="33" t="s">
        <v>1</v>
      </c>
      <c r="E8" s="33" t="s">
        <v>167</v>
      </c>
      <c r="F8" s="37">
        <f>B8</f>
        <v>2.8308631002049998</v>
      </c>
      <c r="G8" s="20"/>
      <c r="H8" s="20" t="s">
        <v>170</v>
      </c>
      <c r="I8" s="20" t="s">
        <v>1</v>
      </c>
      <c r="J8" s="50" t="s">
        <v>182</v>
      </c>
    </row>
    <row r="9" spans="1:13" ht="24" customHeight="1" x14ac:dyDescent="0.3">
      <c r="A9" s="21"/>
      <c r="B9" s="21"/>
      <c r="C9" s="21"/>
      <c r="E9" s="76" t="s">
        <v>171</v>
      </c>
      <c r="F9" s="76"/>
      <c r="G9" s="39" t="e">
        <f>K124</f>
        <v>#NUM!</v>
      </c>
      <c r="H9" s="39" t="e">
        <f>G9*$B$4*$B$7/$B$8</f>
        <v>#NUM!</v>
      </c>
      <c r="I9" s="39" t="e">
        <f>$B$8*EXP(G9-1-LN(G9-$B$11)-$B$10/$B$11/2.8284*LN((G9+2.4142*$B$11)/(G9-0.4142*$B$11)))</f>
        <v>#NUM!</v>
      </c>
      <c r="J9" s="51" t="e">
        <f t="shared" ref="J9:J12" si="0">(I9/0.0980665)+1.03323</f>
        <v>#NUM!</v>
      </c>
    </row>
    <row r="10" spans="1:13" ht="26.4" customHeight="1" x14ac:dyDescent="0.3">
      <c r="A10" s="52" t="str">
        <f>A109</f>
        <v>A</v>
      </c>
      <c r="B10" s="52">
        <f>B109</f>
        <v>2.4786864852301854E-3</v>
      </c>
      <c r="C10" s="21"/>
      <c r="E10" s="76"/>
      <c r="F10" s="76"/>
      <c r="G10" s="39" t="e">
        <f>K125</f>
        <v>#NUM!</v>
      </c>
      <c r="H10" s="39" t="e">
        <f t="shared" ref="H10:H11" si="1">G10*$B$4*$B$7/$B$8</f>
        <v>#NUM!</v>
      </c>
      <c r="I10" s="39" t="e">
        <f>$B$8*EXP(G10-1-LN(G10-$B$11)-$B$10/$B$11/2.8284*LN((G10+2.4142*$B$11)/(G10-0.4142*$B$11)))</f>
        <v>#NUM!</v>
      </c>
      <c r="J10" s="51" t="e">
        <f t="shared" si="0"/>
        <v>#NUM!</v>
      </c>
    </row>
    <row r="11" spans="1:13" ht="25.2" customHeight="1" x14ac:dyDescent="0.3">
      <c r="A11" s="52" t="str">
        <f>A110</f>
        <v>B</v>
      </c>
      <c r="B11" s="52">
        <f>B110</f>
        <v>7.0148403014400982E-3</v>
      </c>
      <c r="C11" s="21"/>
      <c r="E11" s="76"/>
      <c r="F11" s="76"/>
      <c r="G11" s="39" t="e">
        <f>K126</f>
        <v>#NUM!</v>
      </c>
      <c r="H11" s="39" t="e">
        <f t="shared" si="1"/>
        <v>#NUM!</v>
      </c>
      <c r="I11" s="39" t="e">
        <f>$B$8*EXP(G11-1-LN(G11-$B$11)-$B$10/$B$11/2.8284*LN((G11+2.4142*$B$11)/(G11-0.4142*$B$11)))</f>
        <v>#NUM!</v>
      </c>
      <c r="J11" s="51" t="e">
        <f t="shared" si="0"/>
        <v>#NUM!</v>
      </c>
    </row>
    <row r="12" spans="1:13" ht="25.2" customHeight="1" x14ac:dyDescent="0.3">
      <c r="A12" s="52"/>
      <c r="B12" s="52"/>
      <c r="C12" s="21"/>
      <c r="E12" s="85" t="s">
        <v>186</v>
      </c>
      <c r="F12" s="86"/>
      <c r="G12" s="87" t="e">
        <f>I9/I11</f>
        <v>#NUM!</v>
      </c>
      <c r="H12" s="88"/>
      <c r="I12" s="89"/>
      <c r="J12" s="51">
        <f t="shared" si="0"/>
        <v>1.0332300000000001</v>
      </c>
    </row>
    <row r="13" spans="1:13" ht="26.4" customHeight="1" x14ac:dyDescent="0.3">
      <c r="E13" s="76" t="s">
        <v>168</v>
      </c>
      <c r="F13" s="76"/>
      <c r="G13" s="39">
        <f>B126</f>
        <v>1.0045816783133372</v>
      </c>
      <c r="H13" s="39">
        <f>G13*$B$4*$B$7/$B$8</f>
        <v>3128.0082398797031</v>
      </c>
      <c r="I13" s="39">
        <f>$B$8*EXP(G13-1-LN(G13-$B$11)-$B$10/$B$11/2.8284*LN((G13+2.4142*$B$11)/(G13-0.4142*$B$11)))</f>
        <v>2.8438225127981824</v>
      </c>
      <c r="J13" s="51">
        <f>(I13/0.0980665)+1.03323</f>
        <v>30.032149231319384</v>
      </c>
    </row>
    <row r="14" spans="1:13" ht="15.6" x14ac:dyDescent="0.3">
      <c r="E14" s="76" t="s">
        <v>169</v>
      </c>
      <c r="F14" s="76"/>
      <c r="G14" s="76"/>
      <c r="H14" s="76"/>
      <c r="I14" s="76"/>
      <c r="J14" s="76"/>
    </row>
    <row r="15" spans="1:13" x14ac:dyDescent="0.3">
      <c r="A15" s="3"/>
      <c r="B15" s="2"/>
      <c r="C15" s="3"/>
    </row>
    <row r="16" spans="1:13" x14ac:dyDescent="0.3">
      <c r="A16" s="3" t="s">
        <v>2</v>
      </c>
      <c r="B16" s="2"/>
      <c r="C16" s="3"/>
    </row>
    <row r="18" spans="1:12" x14ac:dyDescent="0.3">
      <c r="A18" s="7" t="s">
        <v>12</v>
      </c>
      <c r="B18" s="24" t="s">
        <v>3</v>
      </c>
      <c r="C18" s="24" t="s">
        <v>4</v>
      </c>
      <c r="D18" s="24" t="s">
        <v>5</v>
      </c>
      <c r="E18" s="24" t="s">
        <v>6</v>
      </c>
      <c r="F18" s="24" t="s">
        <v>7</v>
      </c>
      <c r="G18" s="24" t="s">
        <v>8</v>
      </c>
      <c r="H18" s="24" t="s">
        <v>9</v>
      </c>
      <c r="I18" s="24" t="s">
        <v>10</v>
      </c>
      <c r="J18" s="24" t="s">
        <v>19</v>
      </c>
      <c r="K18" s="24" t="s">
        <v>20</v>
      </c>
    </row>
    <row r="19" spans="1:12" x14ac:dyDescent="0.3">
      <c r="A19" s="8" t="s">
        <v>13</v>
      </c>
      <c r="B19" s="48">
        <v>1</v>
      </c>
      <c r="C19" s="48">
        <v>2</v>
      </c>
      <c r="D19" s="48">
        <v>3</v>
      </c>
      <c r="E19" s="48">
        <v>4</v>
      </c>
      <c r="F19" s="48">
        <v>5</v>
      </c>
      <c r="G19" s="48">
        <v>6</v>
      </c>
      <c r="H19" s="48">
        <v>7</v>
      </c>
      <c r="I19" s="48">
        <v>8</v>
      </c>
      <c r="J19" s="48">
        <v>9</v>
      </c>
      <c r="K19" s="48">
        <v>10</v>
      </c>
      <c r="L19" s="46" t="s">
        <v>179</v>
      </c>
    </row>
    <row r="20" spans="1:12" ht="23.4" customHeight="1" x14ac:dyDescent="0.3">
      <c r="A20" s="22" t="s">
        <v>174</v>
      </c>
      <c r="B20" s="56">
        <v>5.6064625028032299E-2</v>
      </c>
      <c r="C20" s="57">
        <v>0.35036280317518098</v>
      </c>
      <c r="D20" s="57">
        <v>0.43830151021915098</v>
      </c>
      <c r="E20" s="56">
        <v>6.4888090032444001E-2</v>
      </c>
      <c r="F20" s="56">
        <v>8.7883903043941905E-2</v>
      </c>
      <c r="G20" s="56">
        <v>3.2882500016441298E-5</v>
      </c>
      <c r="H20" s="56">
        <v>2.46618600123309E-3</v>
      </c>
      <c r="I20" s="57">
        <v>0</v>
      </c>
      <c r="J20" s="57">
        <v>0</v>
      </c>
      <c r="K20" s="57">
        <v>0</v>
      </c>
      <c r="L20" s="46">
        <f>SUM(B20:K20)</f>
        <v>0.99999999999999956</v>
      </c>
    </row>
    <row r="21" spans="1:12" ht="15.6" x14ac:dyDescent="0.35">
      <c r="A21" s="8" t="s">
        <v>14</v>
      </c>
      <c r="B21">
        <v>190.6</v>
      </c>
      <c r="C21">
        <v>33.299999999999997</v>
      </c>
      <c r="D21">
        <v>647.29999999999995</v>
      </c>
      <c r="E21">
        <v>132.9</v>
      </c>
      <c r="F21">
        <v>304.2</v>
      </c>
      <c r="G21">
        <v>150.9</v>
      </c>
      <c r="H21">
        <v>126.1</v>
      </c>
      <c r="I21">
        <v>154.6</v>
      </c>
      <c r="J21">
        <v>406.6</v>
      </c>
      <c r="K21">
        <v>512.6</v>
      </c>
    </row>
    <row r="22" spans="1:12" ht="15.6" x14ac:dyDescent="0.35">
      <c r="A22" s="8" t="s">
        <v>15</v>
      </c>
      <c r="B22">
        <v>4.6040000000000001</v>
      </c>
      <c r="C22">
        <v>1.2969999999999999</v>
      </c>
      <c r="D22">
        <v>22.12</v>
      </c>
      <c r="E22">
        <v>3.4990000000000001</v>
      </c>
      <c r="F22">
        <v>7.3819999999999997</v>
      </c>
      <c r="G22">
        <v>4.8979999999999997</v>
      </c>
      <c r="H22">
        <v>3.3940000000000001</v>
      </c>
      <c r="I22">
        <v>5.0430000000000001</v>
      </c>
      <c r="J22">
        <v>11.27</v>
      </c>
      <c r="K22">
        <v>8.0960000000000001</v>
      </c>
    </row>
    <row r="23" spans="1:12" ht="15.6" x14ac:dyDescent="0.35">
      <c r="A23" s="10" t="s">
        <v>17</v>
      </c>
      <c r="B23">
        <v>1.0999999999999999E-2</v>
      </c>
      <c r="C23">
        <v>-0.215</v>
      </c>
      <c r="D23">
        <v>0.34399999999999997</v>
      </c>
      <c r="E23">
        <v>6.6000000000000003E-2</v>
      </c>
      <c r="F23">
        <v>0.22800000000000001</v>
      </c>
      <c r="G23">
        <v>-4.0000000000000001E-3</v>
      </c>
      <c r="H23">
        <v>0.04</v>
      </c>
      <c r="I23">
        <v>2.1999999999999999E-2</v>
      </c>
      <c r="J23">
        <v>0.252</v>
      </c>
      <c r="K23">
        <v>0.56599999999999995</v>
      </c>
    </row>
    <row r="24" spans="1:12" ht="15.6" x14ac:dyDescent="0.35">
      <c r="A24" s="9" t="s">
        <v>18</v>
      </c>
      <c r="B24" s="48">
        <f>(0.42747*($B$4)^2*(B21)^2)/B22</f>
        <v>233176.34416111218</v>
      </c>
      <c r="C24" s="48">
        <f t="shared" ref="C24:K24" si="2">(0.42747*($B$4)^2*(C21)^2)/C22</f>
        <v>25265.186140889949</v>
      </c>
      <c r="D24" s="48">
        <f t="shared" si="2"/>
        <v>559757.73388847697</v>
      </c>
      <c r="E24" s="48">
        <f t="shared" si="2"/>
        <v>149169.49886496202</v>
      </c>
      <c r="F24" s="48">
        <f t="shared" si="2"/>
        <v>370440.43873399647</v>
      </c>
      <c r="G24" s="48">
        <f t="shared" si="2"/>
        <v>137383.22597440332</v>
      </c>
      <c r="H24" s="48">
        <f t="shared" si="2"/>
        <v>138449.80438837834</v>
      </c>
      <c r="I24" s="48">
        <f t="shared" si="2"/>
        <v>140056.74288691345</v>
      </c>
      <c r="J24" s="48">
        <f t="shared" si="2"/>
        <v>433495.74987158045</v>
      </c>
      <c r="K24" s="48">
        <f t="shared" si="2"/>
        <v>959092.98727715109</v>
      </c>
    </row>
    <row r="25" spans="1:12" ht="15.6" x14ac:dyDescent="0.35">
      <c r="A25" s="9" t="s">
        <v>16</v>
      </c>
      <c r="B25" s="48">
        <f>(0.08664*$B$4*B21)/B22</f>
        <v>29.822236502982935</v>
      </c>
      <c r="C25" s="48">
        <f t="shared" ref="C25:K25" si="3">(0.08664*$B$4*C21)/C22</f>
        <v>18.495108614637878</v>
      </c>
      <c r="D25" s="48">
        <f t="shared" si="3"/>
        <v>21.080121663317289</v>
      </c>
      <c r="E25" s="48">
        <f t="shared" si="3"/>
        <v>27.361107167868042</v>
      </c>
      <c r="F25" s="48">
        <f t="shared" si="3"/>
        <v>29.685050872965803</v>
      </c>
      <c r="G25" s="48">
        <f t="shared" si="3"/>
        <v>22.193361519524831</v>
      </c>
      <c r="H25" s="48">
        <f t="shared" si="3"/>
        <v>26.764299263394239</v>
      </c>
      <c r="I25" s="48">
        <f t="shared" si="3"/>
        <v>22.083766681580162</v>
      </c>
      <c r="J25" s="48">
        <f t="shared" si="3"/>
        <v>25.989390041426933</v>
      </c>
      <c r="K25" s="48">
        <f t="shared" si="3"/>
        <v>45.610069187003702</v>
      </c>
    </row>
    <row r="26" spans="1:12" x14ac:dyDescent="0.3">
      <c r="A26" s="10" t="s">
        <v>123</v>
      </c>
      <c r="B26" s="48">
        <f>$B$7/B21</f>
        <v>5.5621720881427077</v>
      </c>
      <c r="C26" s="48">
        <f t="shared" ref="C26:K26" si="4">$B$7/C21</f>
        <v>31.836336336336341</v>
      </c>
      <c r="D26" s="48">
        <f t="shared" si="4"/>
        <v>1.637803182450178</v>
      </c>
      <c r="E26" s="48">
        <f t="shared" si="4"/>
        <v>7.9770504138449967</v>
      </c>
      <c r="F26" s="48">
        <f t="shared" si="4"/>
        <v>3.4850427350427355</v>
      </c>
      <c r="G26" s="48">
        <f t="shared" si="4"/>
        <v>7.0255135851557329</v>
      </c>
      <c r="H26" s="48">
        <f t="shared" si="4"/>
        <v>8.4072164948453612</v>
      </c>
      <c r="I26" s="48">
        <f t="shared" si="4"/>
        <v>6.8573738680465723</v>
      </c>
      <c r="J26" s="48">
        <f t="shared" si="4"/>
        <v>2.6073536645351698</v>
      </c>
      <c r="K26" s="48">
        <f t="shared" si="4"/>
        <v>2.0681818181818183</v>
      </c>
    </row>
    <row r="27" spans="1:12" x14ac:dyDescent="0.3">
      <c r="A27" s="23" t="s">
        <v>124</v>
      </c>
      <c r="B27" s="48">
        <f>0.48+(1.574*B23)-(0.176*B23^2)</f>
        <v>0.49729270399999997</v>
      </c>
      <c r="C27" s="90">
        <f>1.202*EXP(-0.30288*C26)</f>
        <v>7.801552493619395E-5</v>
      </c>
      <c r="D27" s="48">
        <f t="shared" ref="D27:K27" si="5">0.48+(1.574*D23)-(0.176*D23^2)</f>
        <v>1.0006288639999998</v>
      </c>
      <c r="E27" s="48">
        <f t="shared" si="5"/>
        <v>0.58311734399999993</v>
      </c>
      <c r="F27" s="48">
        <f t="shared" si="5"/>
        <v>0.82972281600000009</v>
      </c>
      <c r="G27" s="48">
        <f t="shared" si="5"/>
        <v>0.47370118399999994</v>
      </c>
      <c r="H27" s="48">
        <f t="shared" si="5"/>
        <v>0.54267840000000001</v>
      </c>
      <c r="I27" s="48">
        <f t="shared" si="5"/>
        <v>0.51454281599999996</v>
      </c>
      <c r="J27" s="48">
        <f t="shared" si="5"/>
        <v>0.86547129599999995</v>
      </c>
      <c r="K27" s="48">
        <f t="shared" si="5"/>
        <v>1.314501344</v>
      </c>
    </row>
    <row r="28" spans="1:12" x14ac:dyDescent="0.3">
      <c r="A28" s="23" t="s">
        <v>125</v>
      </c>
      <c r="B28" s="48">
        <f>(1+(B27*(1-SQRT(B26))))^2</f>
        <v>0.10527739231309839</v>
      </c>
      <c r="C28" s="90"/>
      <c r="D28" s="48">
        <f t="shared" ref="D28:K28" si="6">(1+(D27*(1-SQRT(D26))))^2</f>
        <v>0.51848239689363707</v>
      </c>
      <c r="E28" s="48">
        <f t="shared" si="6"/>
        <v>4.0730167234280306E-3</v>
      </c>
      <c r="F28" s="48">
        <f t="shared" si="6"/>
        <v>7.8833999827892257E-2</v>
      </c>
      <c r="G28" s="48">
        <f t="shared" si="6"/>
        <v>4.7577960863273906E-2</v>
      </c>
      <c r="H28" s="48">
        <f t="shared" si="6"/>
        <v>9.5039635768293064E-4</v>
      </c>
      <c r="I28" s="48">
        <f t="shared" si="6"/>
        <v>2.7932686628498543E-2</v>
      </c>
      <c r="J28" s="48">
        <f t="shared" si="6"/>
        <v>0.21899465256915043</v>
      </c>
      <c r="K28" s="48">
        <f t="shared" si="6"/>
        <v>0.17985573341730166</v>
      </c>
    </row>
    <row r="29" spans="1:12" ht="15.6" x14ac:dyDescent="0.35">
      <c r="A29" s="9" t="s">
        <v>128</v>
      </c>
      <c r="B29" s="48">
        <f>B24*B28</f>
        <v>24548.197462383458</v>
      </c>
      <c r="C29" s="55">
        <f>C24*C27</f>
        <v>1.9710767593921816</v>
      </c>
      <c r="D29" s="48">
        <f t="shared" ref="D29:K29" si="7">D24*D28</f>
        <v>290224.53154624818</v>
      </c>
      <c r="E29" s="48">
        <f t="shared" si="7"/>
        <v>607.56986350236889</v>
      </c>
      <c r="F29" s="48">
        <f t="shared" si="7"/>
        <v>29203.30148340021</v>
      </c>
      <c r="G29" s="48">
        <f t="shared" si="7"/>
        <v>6536.4137486804766</v>
      </c>
      <c r="H29" s="48">
        <f t="shared" si="7"/>
        <v>131.582189812629</v>
      </c>
      <c r="I29" s="48">
        <f t="shared" si="7"/>
        <v>3912.1611092683456</v>
      </c>
      <c r="J29" s="48">
        <f t="shared" si="7"/>
        <v>94933.251133330094</v>
      </c>
      <c r="K29" s="48">
        <f t="shared" si="7"/>
        <v>172498.37264212276</v>
      </c>
    </row>
    <row r="33" spans="1:11" x14ac:dyDescent="0.3">
      <c r="A33" s="77" t="s">
        <v>11</v>
      </c>
      <c r="B33" s="77"/>
      <c r="C33" s="77"/>
      <c r="D33" s="77"/>
      <c r="E33" s="77"/>
      <c r="F33" s="77"/>
      <c r="G33" s="77"/>
      <c r="H33" s="77"/>
      <c r="I33" s="77"/>
    </row>
    <row r="34" spans="1:11" x14ac:dyDescent="0.3">
      <c r="A34" s="25"/>
      <c r="B34" s="24" t="s">
        <v>3</v>
      </c>
      <c r="C34" s="24" t="s">
        <v>4</v>
      </c>
      <c r="D34" s="24" t="s">
        <v>5</v>
      </c>
      <c r="E34" s="24" t="s">
        <v>6</v>
      </c>
      <c r="F34" s="24" t="s">
        <v>7</v>
      </c>
      <c r="G34" s="24" t="s">
        <v>8</v>
      </c>
      <c r="H34" s="24" t="s">
        <v>9</v>
      </c>
      <c r="I34" s="24" t="s">
        <v>10</v>
      </c>
      <c r="J34" s="24" t="s">
        <v>19</v>
      </c>
      <c r="K34" s="24" t="s">
        <v>20</v>
      </c>
    </row>
    <row r="35" spans="1:11" x14ac:dyDescent="0.3">
      <c r="A35" s="23" t="s">
        <v>3</v>
      </c>
      <c r="B35" s="48">
        <v>0</v>
      </c>
      <c r="C35" s="5">
        <v>9.99990006675944E-5</v>
      </c>
      <c r="D35" s="48">
        <v>0.5</v>
      </c>
      <c r="E35" s="5">
        <v>2.0400000736117401E-2</v>
      </c>
      <c r="F35" s="5">
        <v>9.5600001513958005E-2</v>
      </c>
      <c r="G35" s="5">
        <v>-3.5000000149011598E-2</v>
      </c>
      <c r="H35" s="5">
        <v>0</v>
      </c>
      <c r="I35" s="48">
        <v>0</v>
      </c>
      <c r="J35" s="5">
        <v>3.1199000775814101E-2</v>
      </c>
      <c r="K35" s="5">
        <v>3.9000000804662698E-2</v>
      </c>
    </row>
    <row r="36" spans="1:11" x14ac:dyDescent="0.3">
      <c r="A36" s="23" t="s">
        <v>4</v>
      </c>
      <c r="B36" s="5">
        <v>9.99990006675944E-5</v>
      </c>
      <c r="C36" s="5">
        <v>0</v>
      </c>
      <c r="D36" s="48">
        <v>-0.754400014877319</v>
      </c>
      <c r="E36" s="5">
        <v>-6.9999002153053901E-4</v>
      </c>
      <c r="F36" s="5">
        <v>0.116400003433228</v>
      </c>
      <c r="G36" s="5">
        <v>0</v>
      </c>
      <c r="H36" s="5">
        <v>0</v>
      </c>
      <c r="I36" s="48">
        <v>0</v>
      </c>
      <c r="J36" s="5">
        <v>-1.00000004749745E-3</v>
      </c>
      <c r="K36" s="48">
        <v>0</v>
      </c>
    </row>
    <row r="37" spans="1:11" x14ac:dyDescent="0.3">
      <c r="A37" s="23" t="s">
        <v>5</v>
      </c>
      <c r="B37" s="5">
        <v>0.5</v>
      </c>
      <c r="C37" s="48">
        <v>-0.754400014877319</v>
      </c>
      <c r="D37" s="48">
        <v>0</v>
      </c>
      <c r="E37" s="5">
        <v>-0.55940002202987704</v>
      </c>
      <c r="F37" s="5">
        <v>2.9502892866730699E-3</v>
      </c>
      <c r="G37" s="5">
        <v>-9.00000035762787E-2</v>
      </c>
      <c r="H37" s="5">
        <v>-0.27250000834464999</v>
      </c>
      <c r="I37" s="48">
        <v>0</v>
      </c>
      <c r="J37" s="48">
        <v>-0.40167486667633101</v>
      </c>
      <c r="K37" s="5">
        <v>0.5</v>
      </c>
    </row>
    <row r="38" spans="1:11" x14ac:dyDescent="0.3">
      <c r="A38" s="23" t="s">
        <v>6</v>
      </c>
      <c r="B38" s="5">
        <v>2.0400000736117401E-2</v>
      </c>
      <c r="C38" s="5">
        <v>-6.9999002153053901E-4</v>
      </c>
      <c r="D38" s="48">
        <v>-0.55940002202987704</v>
      </c>
      <c r="E38" s="48">
        <v>0</v>
      </c>
      <c r="F38" s="5">
        <v>0.116400003433228</v>
      </c>
      <c r="G38" s="48">
        <v>0</v>
      </c>
      <c r="H38" s="5">
        <v>0</v>
      </c>
      <c r="I38" s="48">
        <v>0</v>
      </c>
      <c r="J38" s="5">
        <v>1.30000002682209E-2</v>
      </c>
      <c r="K38" s="48">
        <v>0</v>
      </c>
    </row>
    <row r="39" spans="1:11" x14ac:dyDescent="0.3">
      <c r="A39" s="23" t="s">
        <v>7</v>
      </c>
      <c r="B39" s="5">
        <v>9.5600001513958005E-2</v>
      </c>
      <c r="C39" s="5">
        <v>0.116400003433228</v>
      </c>
      <c r="D39" s="5">
        <v>2.9502892866730699E-3</v>
      </c>
      <c r="E39" s="48">
        <v>0.116400003433228</v>
      </c>
      <c r="F39" s="48">
        <v>0</v>
      </c>
      <c r="G39" s="5">
        <v>1.7000000923872001E-2</v>
      </c>
      <c r="H39" s="5">
        <v>0</v>
      </c>
      <c r="I39" s="5">
        <v>9.74999964237213E-2</v>
      </c>
      <c r="J39" s="5">
        <v>-1.7100000753998802E-2</v>
      </c>
      <c r="K39" s="5">
        <v>0</v>
      </c>
    </row>
    <row r="40" spans="1:11" x14ac:dyDescent="0.3">
      <c r="A40" s="23" t="s">
        <v>8</v>
      </c>
      <c r="B40" s="5">
        <v>-3.5000000149011598E-2</v>
      </c>
      <c r="C40" s="48">
        <v>0</v>
      </c>
      <c r="D40" s="5">
        <v>-9.00000035762787E-2</v>
      </c>
      <c r="E40" s="48">
        <v>0</v>
      </c>
      <c r="F40" s="5">
        <v>1.7000000923872001E-2</v>
      </c>
      <c r="G40" s="48">
        <v>0</v>
      </c>
      <c r="H40" s="5">
        <v>0</v>
      </c>
      <c r="I40" s="5">
        <v>0</v>
      </c>
      <c r="J40" s="48">
        <v>-0.21410000324249301</v>
      </c>
      <c r="K40" s="48">
        <v>0</v>
      </c>
    </row>
    <row r="41" spans="1:11" x14ac:dyDescent="0.3">
      <c r="A41" s="23" t="s">
        <v>9</v>
      </c>
      <c r="B41" s="5">
        <v>0</v>
      </c>
      <c r="C41" s="5">
        <v>0</v>
      </c>
      <c r="D41" s="48">
        <v>-0.27250000834464999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48">
        <v>0.22570000588893899</v>
      </c>
      <c r="K41" s="48">
        <v>0.33390000462531999</v>
      </c>
    </row>
    <row r="42" spans="1:11" x14ac:dyDescent="0.3">
      <c r="A42" s="23" t="s">
        <v>10</v>
      </c>
      <c r="B42" s="5">
        <v>0</v>
      </c>
      <c r="C42" s="5">
        <v>0</v>
      </c>
      <c r="D42" s="48">
        <v>0</v>
      </c>
      <c r="E42" s="5">
        <v>0</v>
      </c>
      <c r="F42" s="5">
        <v>9.74999964237213E-2</v>
      </c>
      <c r="G42" s="5">
        <v>0</v>
      </c>
      <c r="H42" s="5">
        <v>0</v>
      </c>
      <c r="I42" s="5">
        <v>0</v>
      </c>
      <c r="J42" s="5">
        <v>-1.4000000432133701E-2</v>
      </c>
      <c r="K42" s="5">
        <v>1.60000007599592E-2</v>
      </c>
    </row>
    <row r="43" spans="1:11" x14ac:dyDescent="0.3">
      <c r="A43" s="23" t="s">
        <v>19</v>
      </c>
      <c r="B43" s="5">
        <v>3.1199000775814101E-2</v>
      </c>
      <c r="C43" s="5">
        <v>-1.00000004749745E-3</v>
      </c>
      <c r="D43" s="48">
        <v>-0.40167486667633101</v>
      </c>
      <c r="E43" s="5">
        <v>1.30000002682209E-2</v>
      </c>
      <c r="F43" s="5">
        <v>-1.7100000753998802E-2</v>
      </c>
      <c r="G43" s="5">
        <v>-0.21410000324249301</v>
      </c>
      <c r="H43" s="5">
        <v>0.22570000588893899</v>
      </c>
      <c r="I43" s="5">
        <v>-1.4000000432133701E-2</v>
      </c>
      <c r="J43" s="48">
        <v>0</v>
      </c>
      <c r="K43" s="5">
        <v>-2.0000000949949E-3</v>
      </c>
    </row>
    <row r="44" spans="1:11" x14ac:dyDescent="0.3">
      <c r="A44" s="23" t="s">
        <v>20</v>
      </c>
      <c r="B44" s="5">
        <v>3.9000000804662698E-2</v>
      </c>
      <c r="C44" s="48">
        <v>0</v>
      </c>
      <c r="D44" s="5">
        <v>0.5</v>
      </c>
      <c r="E44" s="48">
        <v>0</v>
      </c>
      <c r="F44" s="5">
        <v>0</v>
      </c>
      <c r="G44" s="48">
        <v>0</v>
      </c>
      <c r="H44" s="48">
        <v>0.33390000462531999</v>
      </c>
      <c r="I44" s="5">
        <v>1.60000007599592E-2</v>
      </c>
      <c r="J44" s="5">
        <v>-2.0000000949949E-3</v>
      </c>
      <c r="K44" s="48">
        <v>0</v>
      </c>
    </row>
    <row r="48" spans="1:11" ht="15.6" x14ac:dyDescent="0.35">
      <c r="A48" s="9" t="s">
        <v>126</v>
      </c>
    </row>
    <row r="49" spans="1:11" x14ac:dyDescent="0.3">
      <c r="A49" s="7" t="s">
        <v>127</v>
      </c>
      <c r="B49" s="24">
        <v>1</v>
      </c>
      <c r="C49" s="24">
        <v>2</v>
      </c>
      <c r="D49" s="24">
        <v>3</v>
      </c>
      <c r="E49" s="24">
        <v>4</v>
      </c>
      <c r="F49" s="24">
        <v>5</v>
      </c>
      <c r="G49" s="24">
        <v>6</v>
      </c>
      <c r="H49" s="24">
        <v>7</v>
      </c>
      <c r="I49" s="24">
        <v>8</v>
      </c>
      <c r="J49" s="24">
        <v>9</v>
      </c>
      <c r="K49" s="24">
        <v>10</v>
      </c>
    </row>
    <row r="50" spans="1:11" x14ac:dyDescent="0.3">
      <c r="A50" s="23">
        <v>1</v>
      </c>
      <c r="B50" s="48">
        <v>0</v>
      </c>
      <c r="C50" s="5">
        <v>9.99990006675944E-5</v>
      </c>
      <c r="D50" s="48">
        <v>0.5</v>
      </c>
      <c r="E50" s="5">
        <v>2.0400000736117401E-2</v>
      </c>
      <c r="F50" s="5">
        <v>9.5600001513958005E-2</v>
      </c>
      <c r="G50" s="5">
        <v>3.9000000804662698E-2</v>
      </c>
      <c r="H50" s="5">
        <v>3.1199000775814101E-2</v>
      </c>
      <c r="I50" s="48">
        <v>0</v>
      </c>
      <c r="J50" s="48">
        <v>0</v>
      </c>
      <c r="K50" s="5">
        <v>-3.5000000149011598E-2</v>
      </c>
    </row>
    <row r="51" spans="1:11" x14ac:dyDescent="0.3">
      <c r="A51" s="23">
        <v>2</v>
      </c>
      <c r="B51" s="5">
        <v>9.99990006675944E-5</v>
      </c>
      <c r="C51" s="5">
        <v>0</v>
      </c>
      <c r="D51" s="48">
        <v>-0.754400014877319</v>
      </c>
      <c r="E51" s="5">
        <v>-6.9999002153053901E-4</v>
      </c>
      <c r="F51" s="5">
        <v>0.116400003433228</v>
      </c>
      <c r="G51" s="5">
        <v>0</v>
      </c>
      <c r="H51" s="5">
        <v>-1.00000004749745E-3</v>
      </c>
      <c r="I51" s="48">
        <v>0</v>
      </c>
      <c r="J51" s="48">
        <v>0</v>
      </c>
      <c r="K51" s="48">
        <v>0</v>
      </c>
    </row>
    <row r="52" spans="1:11" x14ac:dyDescent="0.3">
      <c r="A52" s="23">
        <v>3</v>
      </c>
      <c r="B52" s="5">
        <v>0.5</v>
      </c>
      <c r="C52" s="48">
        <v>-0.754400014877319</v>
      </c>
      <c r="D52" s="48">
        <v>0</v>
      </c>
      <c r="E52" s="5">
        <v>-0.55940002202987704</v>
      </c>
      <c r="F52" s="48">
        <v>-0.121546909213066</v>
      </c>
      <c r="G52" s="48">
        <v>0.5</v>
      </c>
      <c r="H52" s="5">
        <v>-0.69647556543350198</v>
      </c>
      <c r="I52" s="48">
        <v>0</v>
      </c>
      <c r="J52" s="48">
        <v>-0.27250000834464999</v>
      </c>
      <c r="K52" s="5">
        <v>-9.00000035762787E-2</v>
      </c>
    </row>
    <row r="53" spans="1:11" x14ac:dyDescent="0.3">
      <c r="A53" s="23">
        <v>4</v>
      </c>
      <c r="B53" s="5">
        <v>2.0400000736117401E-2</v>
      </c>
      <c r="C53" s="5">
        <v>-6.9999002153053901E-4</v>
      </c>
      <c r="D53" s="48">
        <v>-0.55940002202987704</v>
      </c>
      <c r="E53" s="48">
        <v>0</v>
      </c>
      <c r="F53" s="5">
        <v>0.116400003433228</v>
      </c>
      <c r="G53" s="48">
        <v>0</v>
      </c>
      <c r="H53" s="5">
        <v>1.30000002682209E-2</v>
      </c>
      <c r="I53" s="48">
        <v>0</v>
      </c>
      <c r="J53" s="48">
        <v>0</v>
      </c>
      <c r="K53" s="48">
        <v>0</v>
      </c>
    </row>
    <row r="54" spans="1:11" x14ac:dyDescent="0.3">
      <c r="A54" s="23">
        <v>5</v>
      </c>
      <c r="B54" s="5">
        <v>9.5600001513958005E-2</v>
      </c>
      <c r="C54" s="5">
        <v>0.116400003433228</v>
      </c>
      <c r="D54" s="48">
        <v>-0.121546909213066</v>
      </c>
      <c r="E54" s="48">
        <v>0.116400003433228</v>
      </c>
      <c r="F54" s="48">
        <v>0</v>
      </c>
      <c r="G54" s="48">
        <v>0</v>
      </c>
      <c r="H54" s="5">
        <v>-1.7100000753998802E-2</v>
      </c>
      <c r="I54" s="5">
        <v>9.74999964237213E-2</v>
      </c>
      <c r="J54" s="48">
        <v>0</v>
      </c>
      <c r="K54" s="5">
        <v>1.7000000923872001E-2</v>
      </c>
    </row>
    <row r="55" spans="1:11" x14ac:dyDescent="0.3">
      <c r="A55" s="23">
        <v>6</v>
      </c>
      <c r="B55" s="5">
        <v>3.9000000804662698E-2</v>
      </c>
      <c r="C55" s="48">
        <v>0</v>
      </c>
      <c r="D55" s="5">
        <v>0.5</v>
      </c>
      <c r="E55" s="48">
        <v>0</v>
      </c>
      <c r="F55" s="48">
        <v>0</v>
      </c>
      <c r="G55" s="48">
        <v>0</v>
      </c>
      <c r="H55" s="5">
        <v>-2.0000000949949E-3</v>
      </c>
      <c r="I55" s="5">
        <v>1.60000007599592E-2</v>
      </c>
      <c r="J55" s="48">
        <v>0.33390000462531999</v>
      </c>
      <c r="K55" s="48">
        <v>0</v>
      </c>
    </row>
    <row r="56" spans="1:11" x14ac:dyDescent="0.3">
      <c r="A56" s="23">
        <v>7</v>
      </c>
      <c r="B56" s="5">
        <v>3.1199000775814101E-2</v>
      </c>
      <c r="C56" s="5">
        <v>-1.00000004749745E-3</v>
      </c>
      <c r="D56" s="48">
        <v>-0.69647556543350198</v>
      </c>
      <c r="E56" s="5">
        <v>1.30000002682209E-2</v>
      </c>
      <c r="F56" s="5">
        <v>-1.7100000753998802E-2</v>
      </c>
      <c r="G56" s="5">
        <v>-2.0000000949949E-3</v>
      </c>
      <c r="H56" s="5">
        <v>0</v>
      </c>
      <c r="I56" s="5">
        <v>-1.4000000432133701E-2</v>
      </c>
      <c r="J56" s="48">
        <v>0.22570000588893899</v>
      </c>
      <c r="K56" s="48">
        <v>-0.21410000324249301</v>
      </c>
    </row>
    <row r="57" spans="1:11" x14ac:dyDescent="0.3">
      <c r="A57" s="23">
        <v>8</v>
      </c>
      <c r="B57" s="5">
        <v>0</v>
      </c>
      <c r="C57" s="5">
        <v>0</v>
      </c>
      <c r="D57" s="48">
        <v>0</v>
      </c>
      <c r="E57" s="5">
        <v>0</v>
      </c>
      <c r="F57" s="5">
        <v>9.74999964237213E-2</v>
      </c>
      <c r="G57" s="5">
        <v>1.60000007599592E-2</v>
      </c>
      <c r="H57" s="5">
        <v>-1.4000000432133701E-2</v>
      </c>
      <c r="I57" s="5">
        <v>0</v>
      </c>
      <c r="J57" s="48">
        <v>0</v>
      </c>
      <c r="K57" s="48">
        <v>0</v>
      </c>
    </row>
    <row r="58" spans="1:11" x14ac:dyDescent="0.3">
      <c r="A58" s="23">
        <v>9</v>
      </c>
      <c r="B58" s="48">
        <v>0</v>
      </c>
      <c r="C58" s="48">
        <v>0</v>
      </c>
      <c r="D58" s="48">
        <v>-0.27250000834464999</v>
      </c>
      <c r="E58" s="48">
        <v>0</v>
      </c>
      <c r="F58" s="5">
        <v>0</v>
      </c>
      <c r="G58" s="5">
        <v>0.33390000462531999</v>
      </c>
      <c r="H58" s="5">
        <v>0.22570000588893899</v>
      </c>
      <c r="I58" s="48">
        <v>0</v>
      </c>
      <c r="J58" s="48">
        <v>0</v>
      </c>
      <c r="K58" s="48">
        <v>0</v>
      </c>
    </row>
    <row r="59" spans="1:11" x14ac:dyDescent="0.3">
      <c r="A59" s="23">
        <v>10</v>
      </c>
      <c r="B59" s="5">
        <v>-3.5000000149011598E-2</v>
      </c>
      <c r="C59" s="48">
        <v>0</v>
      </c>
      <c r="D59" s="5">
        <v>-9.00000035762787E-2</v>
      </c>
      <c r="E59" s="48">
        <v>0</v>
      </c>
      <c r="F59" s="5">
        <v>1.7000000923872001E-2</v>
      </c>
      <c r="G59" s="48">
        <v>0</v>
      </c>
      <c r="H59" s="48">
        <v>-0.21410000324249301</v>
      </c>
      <c r="I59" s="48">
        <v>0</v>
      </c>
      <c r="J59" s="48">
        <v>0</v>
      </c>
      <c r="K59" s="48">
        <v>0</v>
      </c>
    </row>
    <row r="67" spans="1:11" ht="15.6" x14ac:dyDescent="0.35">
      <c r="A67" s="26" t="s">
        <v>129</v>
      </c>
    </row>
    <row r="68" spans="1:11" ht="15.6" x14ac:dyDescent="0.35">
      <c r="A68" s="12" t="s">
        <v>130</v>
      </c>
      <c r="B68" s="28">
        <f t="shared" ref="B68:K68" si="8">B29</f>
        <v>24548.197462383458</v>
      </c>
      <c r="C68" s="28">
        <f t="shared" si="8"/>
        <v>1.9710767593921816</v>
      </c>
      <c r="D68" s="28">
        <f t="shared" si="8"/>
        <v>290224.53154624818</v>
      </c>
      <c r="E68" s="28">
        <f t="shared" si="8"/>
        <v>607.56986350236889</v>
      </c>
      <c r="F68" s="28">
        <f t="shared" si="8"/>
        <v>29203.30148340021</v>
      </c>
      <c r="G68" s="28">
        <f t="shared" si="8"/>
        <v>6536.4137486804766</v>
      </c>
      <c r="H68" s="28">
        <f t="shared" si="8"/>
        <v>131.582189812629</v>
      </c>
      <c r="I68" s="28">
        <f t="shared" si="8"/>
        <v>3912.1611092683456</v>
      </c>
      <c r="J68" s="28">
        <f t="shared" si="8"/>
        <v>94933.251133330094</v>
      </c>
      <c r="K68" s="28">
        <f t="shared" si="8"/>
        <v>172498.37264212276</v>
      </c>
    </row>
    <row r="69" spans="1:11" x14ac:dyDescent="0.3">
      <c r="A69" s="27">
        <f>B29</f>
        <v>24548.197462383458</v>
      </c>
      <c r="B69" s="48">
        <f>(SQRT(B$68*$A69)*(1-B50))</f>
        <v>24548.197462383458</v>
      </c>
      <c r="C69" s="5">
        <f>(SQRT(C$68*$A69)*(1-C50))</f>
        <v>219.94705000825959</v>
      </c>
      <c r="D69" s="48">
        <f t="shared" ref="D69:K70" si="9">(SQRT(D$68*$A69)*(1-D50))</f>
        <v>42203.344384139265</v>
      </c>
      <c r="E69" s="48">
        <f t="shared" si="9"/>
        <v>3783.1772737961664</v>
      </c>
      <c r="F69" s="48">
        <f t="shared" si="9"/>
        <v>24215.103683912181</v>
      </c>
      <c r="G69" s="48">
        <f t="shared" si="9"/>
        <v>12173.149585583498</v>
      </c>
      <c r="H69" s="48">
        <f t="shared" si="9"/>
        <v>1741.1770610012234</v>
      </c>
      <c r="I69" s="48">
        <f t="shared" si="9"/>
        <v>9799.8216011811382</v>
      </c>
      <c r="J69" s="48">
        <f t="shared" si="9"/>
        <v>48274.633033996492</v>
      </c>
      <c r="K69" s="48">
        <f t="shared" si="9"/>
        <v>67350.783921592199</v>
      </c>
    </row>
    <row r="70" spans="1:11" x14ac:dyDescent="0.3">
      <c r="A70" s="27">
        <f>C29</f>
        <v>1.9710767593921816</v>
      </c>
      <c r="B70" s="48">
        <f>(SQRT(B$68*$A70)*(1-B51))</f>
        <v>219.94705000825959</v>
      </c>
      <c r="C70" s="5">
        <f>(SQRT(C$68*$A70)*(1-C51))</f>
        <v>1.9710767593921816</v>
      </c>
      <c r="D70" s="48">
        <f t="shared" si="9"/>
        <v>1326.92828119768</v>
      </c>
      <c r="E70" s="48">
        <f t="shared" si="9"/>
        <v>34.630102427231876</v>
      </c>
      <c r="F70" s="48">
        <f t="shared" si="9"/>
        <v>211.99394178161208</v>
      </c>
      <c r="G70" s="48">
        <f t="shared" si="9"/>
        <v>113.5067100650689</v>
      </c>
      <c r="H70" s="48">
        <f t="shared" si="9"/>
        <v>16.120718745311624</v>
      </c>
      <c r="I70" s="48">
        <f t="shared" si="9"/>
        <v>87.813266887622248</v>
      </c>
      <c r="J70" s="48">
        <f t="shared" si="9"/>
        <v>432.57453115324347</v>
      </c>
      <c r="K70" s="48">
        <f t="shared" si="9"/>
        <v>583.10164924124535</v>
      </c>
    </row>
    <row r="71" spans="1:11" x14ac:dyDescent="0.3">
      <c r="A71" s="27">
        <f>D29</f>
        <v>290224.53154624818</v>
      </c>
      <c r="B71" s="48">
        <f t="shared" ref="B71:K78" si="10">(SQRT(B$68*$A71)*(1-B52))</f>
        <v>42203.344384139265</v>
      </c>
      <c r="C71" s="48">
        <f t="shared" si="10"/>
        <v>1326.92828119768</v>
      </c>
      <c r="D71" s="48">
        <f t="shared" si="10"/>
        <v>290224.53154624818</v>
      </c>
      <c r="E71" s="48">
        <f t="shared" si="10"/>
        <v>20707.263381389828</v>
      </c>
      <c r="F71" s="48">
        <f t="shared" si="10"/>
        <v>103252.47681339788</v>
      </c>
      <c r="G71" s="48">
        <f t="shared" si="10"/>
        <v>21777.440266266643</v>
      </c>
      <c r="H71" s="48">
        <f t="shared" si="10"/>
        <v>10483.667130929722</v>
      </c>
      <c r="I71" s="48">
        <f t="shared" si="10"/>
        <v>33695.773106887696</v>
      </c>
      <c r="J71" s="48">
        <f t="shared" si="10"/>
        <v>211219.5098096056</v>
      </c>
      <c r="K71" s="48">
        <f t="shared" si="10"/>
        <v>243885.54462000509</v>
      </c>
    </row>
    <row r="72" spans="1:11" x14ac:dyDescent="0.3">
      <c r="A72" s="27">
        <f>E29</f>
        <v>607.56986350236889</v>
      </c>
      <c r="B72" s="48">
        <f t="shared" si="10"/>
        <v>3783.1772737961664</v>
      </c>
      <c r="C72" s="48">
        <f t="shared" si="10"/>
        <v>34.630102427231876</v>
      </c>
      <c r="D72" s="48">
        <f t="shared" si="10"/>
        <v>20707.263381389828</v>
      </c>
      <c r="E72" s="48">
        <f t="shared" si="10"/>
        <v>607.56986350236889</v>
      </c>
      <c r="F72" s="48">
        <f t="shared" si="10"/>
        <v>3721.9436485460596</v>
      </c>
      <c r="G72" s="48">
        <f t="shared" si="10"/>
        <v>1992.8191109784161</v>
      </c>
      <c r="H72" s="48">
        <f t="shared" si="10"/>
        <v>279.07042861763222</v>
      </c>
      <c r="I72" s="48">
        <f t="shared" si="10"/>
        <v>1541.7234483387235</v>
      </c>
      <c r="J72" s="48">
        <f t="shared" si="10"/>
        <v>7594.6416922007238</v>
      </c>
      <c r="K72" s="48">
        <f t="shared" si="10"/>
        <v>10237.422171648255</v>
      </c>
    </row>
    <row r="73" spans="1:11" x14ac:dyDescent="0.3">
      <c r="A73" s="27">
        <f>F29</f>
        <v>29203.30148340021</v>
      </c>
      <c r="B73" s="48">
        <f t="shared" si="10"/>
        <v>24215.103683912181</v>
      </c>
      <c r="C73" s="48">
        <f t="shared" si="10"/>
        <v>211.99394178161208</v>
      </c>
      <c r="D73" s="48">
        <f t="shared" si="10"/>
        <v>103252.47681339788</v>
      </c>
      <c r="E73" s="48">
        <f t="shared" si="10"/>
        <v>3721.9436485460596</v>
      </c>
      <c r="F73" s="48">
        <f t="shared" si="10"/>
        <v>29203.30148340021</v>
      </c>
      <c r="G73" s="48">
        <f t="shared" si="10"/>
        <v>13816.108761983531</v>
      </c>
      <c r="H73" s="48">
        <f t="shared" si="10"/>
        <v>1993.7843626196789</v>
      </c>
      <c r="I73" s="48">
        <f t="shared" si="10"/>
        <v>9646.5396564165731</v>
      </c>
      <c r="J73" s="48">
        <f t="shared" si="10"/>
        <v>52653.246373286267</v>
      </c>
      <c r="K73" s="48">
        <f t="shared" si="10"/>
        <v>69768.91907568973</v>
      </c>
    </row>
    <row r="74" spans="1:11" x14ac:dyDescent="0.3">
      <c r="A74" s="27">
        <f>G29</f>
        <v>6536.4137486804766</v>
      </c>
      <c r="B74" s="48">
        <f t="shared" si="10"/>
        <v>12173.149585583498</v>
      </c>
      <c r="C74" s="48">
        <f t="shared" si="10"/>
        <v>113.5067100650689</v>
      </c>
      <c r="D74" s="48">
        <f t="shared" si="10"/>
        <v>21777.440266266643</v>
      </c>
      <c r="E74" s="48">
        <f t="shared" si="10"/>
        <v>1992.8191109784161</v>
      </c>
      <c r="F74" s="48">
        <f t="shared" si="10"/>
        <v>13816.108761983531</v>
      </c>
      <c r="G74" s="48">
        <f t="shared" si="10"/>
        <v>6536.4137486804766</v>
      </c>
      <c r="H74" s="48">
        <f t="shared" si="10"/>
        <v>929.2574334259125</v>
      </c>
      <c r="I74" s="48">
        <f t="shared" si="10"/>
        <v>4975.9181877512556</v>
      </c>
      <c r="J74" s="48">
        <f t="shared" si="10"/>
        <v>16592.750204381024</v>
      </c>
      <c r="K74" s="48">
        <f t="shared" si="10"/>
        <v>33578.575529092646</v>
      </c>
    </row>
    <row r="75" spans="1:11" x14ac:dyDescent="0.3">
      <c r="A75" s="27">
        <f>H29</f>
        <v>131.582189812629</v>
      </c>
      <c r="B75" s="48">
        <f t="shared" si="10"/>
        <v>1741.1770610012234</v>
      </c>
      <c r="C75" s="48">
        <f t="shared" si="10"/>
        <v>16.120718745311624</v>
      </c>
      <c r="D75" s="48">
        <f t="shared" si="10"/>
        <v>10483.667130929722</v>
      </c>
      <c r="E75" s="48">
        <f t="shared" si="10"/>
        <v>279.07042861763222</v>
      </c>
      <c r="F75" s="48">
        <f t="shared" si="10"/>
        <v>1993.7843626196789</v>
      </c>
      <c r="G75" s="48">
        <f t="shared" si="10"/>
        <v>929.2574334259125</v>
      </c>
      <c r="H75" s="48">
        <f t="shared" si="10"/>
        <v>131.582189812629</v>
      </c>
      <c r="I75" s="48">
        <f t="shared" si="10"/>
        <v>727.51989765854171</v>
      </c>
      <c r="J75" s="48">
        <f t="shared" si="10"/>
        <v>2736.6356987167023</v>
      </c>
      <c r="K75" s="48">
        <f t="shared" si="10"/>
        <v>5784.2295027191421</v>
      </c>
    </row>
    <row r="76" spans="1:11" x14ac:dyDescent="0.3">
      <c r="A76" s="27">
        <f>I29</f>
        <v>3912.1611092683456</v>
      </c>
      <c r="B76" s="48">
        <f t="shared" si="10"/>
        <v>9799.8216011811382</v>
      </c>
      <c r="C76" s="48">
        <f t="shared" si="10"/>
        <v>87.813266887622248</v>
      </c>
      <c r="D76" s="48">
        <f t="shared" si="10"/>
        <v>33695.773106887696</v>
      </c>
      <c r="E76" s="48">
        <f t="shared" si="10"/>
        <v>1541.7234483387235</v>
      </c>
      <c r="F76" s="48">
        <f t="shared" si="10"/>
        <v>9646.5396564165731</v>
      </c>
      <c r="G76" s="48">
        <f t="shared" si="10"/>
        <v>4975.9181877512556</v>
      </c>
      <c r="H76" s="48">
        <f t="shared" si="10"/>
        <v>727.51989765854171</v>
      </c>
      <c r="I76" s="48">
        <f t="shared" si="10"/>
        <v>3912.1611092683456</v>
      </c>
      <c r="J76" s="48">
        <f t="shared" si="10"/>
        <v>19271.589790679416</v>
      </c>
      <c r="K76" s="48">
        <f t="shared" si="10"/>
        <v>25977.710154334069</v>
      </c>
    </row>
    <row r="77" spans="1:11" x14ac:dyDescent="0.3">
      <c r="A77" s="27">
        <f>J29</f>
        <v>94933.251133330094</v>
      </c>
      <c r="B77" s="48">
        <f t="shared" si="10"/>
        <v>48274.633033996492</v>
      </c>
      <c r="C77" s="48">
        <f t="shared" si="10"/>
        <v>432.57453115324347</v>
      </c>
      <c r="D77" s="48">
        <f t="shared" si="10"/>
        <v>211219.5098096056</v>
      </c>
      <c r="E77" s="48">
        <f t="shared" si="10"/>
        <v>7594.6416922007238</v>
      </c>
      <c r="F77" s="48">
        <f t="shared" si="10"/>
        <v>52653.246373286267</v>
      </c>
      <c r="G77" s="48">
        <f t="shared" si="10"/>
        <v>16592.750204381024</v>
      </c>
      <c r="H77" s="48">
        <f t="shared" si="10"/>
        <v>2736.6356987167023</v>
      </c>
      <c r="I77" s="48">
        <f t="shared" si="10"/>
        <v>19271.589790679416</v>
      </c>
      <c r="J77" s="48">
        <f t="shared" si="10"/>
        <v>94933.251133330094</v>
      </c>
      <c r="K77" s="48">
        <f t="shared" si="10"/>
        <v>127968.08715506142</v>
      </c>
    </row>
    <row r="78" spans="1:11" x14ac:dyDescent="0.3">
      <c r="A78" s="27">
        <f>K29</f>
        <v>172498.37264212276</v>
      </c>
      <c r="B78" s="48">
        <f t="shared" si="10"/>
        <v>67350.783921592199</v>
      </c>
      <c r="C78" s="48">
        <f t="shared" si="10"/>
        <v>583.10164924124535</v>
      </c>
      <c r="D78" s="48">
        <f t="shared" si="10"/>
        <v>243885.54462000509</v>
      </c>
      <c r="E78" s="48">
        <f t="shared" si="10"/>
        <v>10237.422171648255</v>
      </c>
      <c r="F78" s="48">
        <f t="shared" si="10"/>
        <v>69768.91907568973</v>
      </c>
      <c r="G78" s="48">
        <f t="shared" si="10"/>
        <v>33578.575529092646</v>
      </c>
      <c r="H78" s="48">
        <f t="shared" si="10"/>
        <v>5784.2295027191421</v>
      </c>
      <c r="I78" s="48">
        <f t="shared" si="10"/>
        <v>25977.710154334069</v>
      </c>
      <c r="J78" s="48">
        <f t="shared" si="10"/>
        <v>127968.08715506142</v>
      </c>
      <c r="K78" s="48">
        <f t="shared" si="10"/>
        <v>172498.37264212276</v>
      </c>
    </row>
    <row r="82" spans="1:11" x14ac:dyDescent="0.3">
      <c r="A82" s="1"/>
      <c r="B82" s="1"/>
      <c r="C82" s="1"/>
      <c r="D82" s="1"/>
      <c r="E82" s="1"/>
      <c r="F82" s="1"/>
      <c r="G82" s="1"/>
    </row>
    <row r="83" spans="1:11" ht="15.6" x14ac:dyDescent="0.35">
      <c r="A83" s="11" t="s">
        <v>131</v>
      </c>
    </row>
    <row r="84" spans="1:11" ht="15.6" x14ac:dyDescent="0.35">
      <c r="A84" s="7" t="s">
        <v>132</v>
      </c>
      <c r="B84" s="24">
        <f t="shared" ref="B84:K84" si="11">B20</f>
        <v>5.6064625028032299E-2</v>
      </c>
      <c r="C84" s="24">
        <f t="shared" si="11"/>
        <v>0.35036280317518098</v>
      </c>
      <c r="D84" s="24">
        <f t="shared" si="11"/>
        <v>0.43830151021915098</v>
      </c>
      <c r="E84" s="24">
        <f t="shared" si="11"/>
        <v>6.4888090032444001E-2</v>
      </c>
      <c r="F84" s="24">
        <f t="shared" si="11"/>
        <v>8.7883903043941905E-2</v>
      </c>
      <c r="G84" s="24">
        <f t="shared" si="11"/>
        <v>3.2882500016441298E-5</v>
      </c>
      <c r="H84" s="24">
        <f t="shared" si="11"/>
        <v>2.46618600123309E-3</v>
      </c>
      <c r="I84" s="24">
        <f t="shared" si="11"/>
        <v>0</v>
      </c>
      <c r="J84" s="24">
        <f t="shared" si="11"/>
        <v>0</v>
      </c>
      <c r="K84" s="24">
        <f t="shared" si="11"/>
        <v>0</v>
      </c>
    </row>
    <row r="85" spans="1:11" x14ac:dyDescent="0.3">
      <c r="A85" s="23">
        <f>B20</f>
        <v>5.6064625028032299E-2</v>
      </c>
      <c r="B85" s="48">
        <f>B$84*$A85*B69</f>
        <v>77.160929695289894</v>
      </c>
      <c r="C85" s="48">
        <f t="shared" ref="C85:K85" si="12">C$84*$A85*C69</f>
        <v>4.3204109259065593</v>
      </c>
      <c r="D85" s="48">
        <f t="shared" si="12"/>
        <v>1037.0716366426957</v>
      </c>
      <c r="E85" s="48">
        <f t="shared" si="12"/>
        <v>13.762920618135702</v>
      </c>
      <c r="F85" s="48">
        <f t="shared" si="12"/>
        <v>119.31212783798759</v>
      </c>
      <c r="G85" s="48">
        <f t="shared" si="12"/>
        <v>2.2441749459411339E-2</v>
      </c>
      <c r="H85" s="48">
        <f t="shared" si="12"/>
        <v>0.24074522780404148</v>
      </c>
      <c r="I85" s="48">
        <f t="shared" si="12"/>
        <v>0</v>
      </c>
      <c r="J85" s="48">
        <f t="shared" si="12"/>
        <v>0</v>
      </c>
      <c r="K85" s="48">
        <f t="shared" si="12"/>
        <v>0</v>
      </c>
    </row>
    <row r="86" spans="1:11" x14ac:dyDescent="0.3">
      <c r="A86" s="23">
        <f>C20</f>
        <v>0.35036280317518098</v>
      </c>
      <c r="B86" s="48">
        <f t="shared" ref="B86:K94" si="13">B$84*$A86*B70</f>
        <v>4.3204109259065593</v>
      </c>
      <c r="C86" s="48">
        <f t="shared" si="13"/>
        <v>0.24195774150555849</v>
      </c>
      <c r="D86" s="48">
        <f t="shared" si="13"/>
        <v>203.76913875330561</v>
      </c>
      <c r="E86" s="48">
        <f t="shared" si="13"/>
        <v>0.78729366964159109</v>
      </c>
      <c r="F86" s="48">
        <f t="shared" si="13"/>
        <v>6.5275585922629569</v>
      </c>
      <c r="G86" s="48">
        <f t="shared" si="13"/>
        <v>1.3076886593630017E-3</v>
      </c>
      <c r="H86" s="48">
        <f t="shared" si="13"/>
        <v>1.3929265668519215E-2</v>
      </c>
      <c r="I86" s="48">
        <f t="shared" si="13"/>
        <v>0</v>
      </c>
      <c r="J86" s="48">
        <f t="shared" si="13"/>
        <v>0</v>
      </c>
      <c r="K86" s="48">
        <f t="shared" si="13"/>
        <v>0</v>
      </c>
    </row>
    <row r="87" spans="1:11" x14ac:dyDescent="0.3">
      <c r="A87" s="23">
        <f>D20</f>
        <v>0.43830151021915098</v>
      </c>
      <c r="B87" s="48">
        <f t="shared" si="13"/>
        <v>1037.0716366426957</v>
      </c>
      <c r="C87" s="48">
        <f t="shared" si="13"/>
        <v>203.76913875330561</v>
      </c>
      <c r="D87" s="48">
        <f t="shared" si="13"/>
        <v>55754.516373817714</v>
      </c>
      <c r="E87" s="48">
        <f t="shared" si="13"/>
        <v>588.92591517466553</v>
      </c>
      <c r="F87" s="48">
        <f t="shared" si="13"/>
        <v>3977.2490029315168</v>
      </c>
      <c r="G87" s="48">
        <f t="shared" si="13"/>
        <v>0.3138662562690343</v>
      </c>
      <c r="H87" s="48">
        <f t="shared" si="13"/>
        <v>11.332142274668676</v>
      </c>
      <c r="I87" s="48">
        <f t="shared" si="13"/>
        <v>0</v>
      </c>
      <c r="J87" s="48">
        <f t="shared" si="13"/>
        <v>0</v>
      </c>
      <c r="K87" s="48">
        <f t="shared" si="13"/>
        <v>0</v>
      </c>
    </row>
    <row r="88" spans="1:11" x14ac:dyDescent="0.3">
      <c r="A88" s="23">
        <f>E20</f>
        <v>6.4888090032444001E-2</v>
      </c>
      <c r="B88" s="48">
        <f t="shared" si="13"/>
        <v>13.762920618135702</v>
      </c>
      <c r="C88" s="48">
        <f t="shared" si="13"/>
        <v>0.78729366964159109</v>
      </c>
      <c r="D88" s="48">
        <f t="shared" si="13"/>
        <v>588.92591517466553</v>
      </c>
      <c r="E88" s="48">
        <f t="shared" si="13"/>
        <v>2.5581511763231455</v>
      </c>
      <c r="F88" s="48">
        <f t="shared" si="13"/>
        <v>21.22482512717464</v>
      </c>
      <c r="G88" s="48">
        <f t="shared" si="13"/>
        <v>4.2520435050046731E-3</v>
      </c>
      <c r="H88" s="48">
        <f t="shared" si="13"/>
        <v>4.4658552117407366E-2</v>
      </c>
      <c r="I88" s="48">
        <f t="shared" si="13"/>
        <v>0</v>
      </c>
      <c r="J88" s="48">
        <f t="shared" si="13"/>
        <v>0</v>
      </c>
      <c r="K88" s="48">
        <f t="shared" si="13"/>
        <v>0</v>
      </c>
    </row>
    <row r="89" spans="1:11" x14ac:dyDescent="0.3">
      <c r="A89" s="23">
        <f>F20</f>
        <v>8.7883903043941905E-2</v>
      </c>
      <c r="B89" s="48">
        <f t="shared" si="13"/>
        <v>119.31212783798759</v>
      </c>
      <c r="C89" s="48">
        <f t="shared" si="13"/>
        <v>6.5275585922629569</v>
      </c>
      <c r="D89" s="48">
        <f t="shared" si="13"/>
        <v>3977.2490029315168</v>
      </c>
      <c r="E89" s="48">
        <f t="shared" si="13"/>
        <v>21.22482512717464</v>
      </c>
      <c r="F89" s="48">
        <f t="shared" si="13"/>
        <v>225.55404736824764</v>
      </c>
      <c r="G89" s="48">
        <f t="shared" si="13"/>
        <v>3.9926377501454183E-2</v>
      </c>
      <c r="H89" s="48">
        <f t="shared" si="13"/>
        <v>0.43212893770724292</v>
      </c>
      <c r="I89" s="48">
        <f t="shared" si="13"/>
        <v>0</v>
      </c>
      <c r="J89" s="48">
        <f t="shared" si="13"/>
        <v>0</v>
      </c>
      <c r="K89" s="48">
        <f t="shared" si="13"/>
        <v>0</v>
      </c>
    </row>
    <row r="90" spans="1:11" x14ac:dyDescent="0.3">
      <c r="A90" s="23">
        <f>G20</f>
        <v>3.2882500016441298E-5</v>
      </c>
      <c r="B90" s="48">
        <f t="shared" si="13"/>
        <v>2.2441749459411339E-2</v>
      </c>
      <c r="C90" s="48">
        <f t="shared" si="13"/>
        <v>1.3076886593630017E-3</v>
      </c>
      <c r="D90" s="48">
        <f t="shared" si="13"/>
        <v>0.3138662562690343</v>
      </c>
      <c r="E90" s="48">
        <f t="shared" si="13"/>
        <v>4.2520435050046731E-3</v>
      </c>
      <c r="F90" s="48">
        <f t="shared" si="13"/>
        <v>3.9926377501454183E-2</v>
      </c>
      <c r="G90" s="48">
        <f t="shared" si="13"/>
        <v>7.0675549341219153E-6</v>
      </c>
      <c r="H90" s="48">
        <f t="shared" si="13"/>
        <v>7.5357537978274305E-5</v>
      </c>
      <c r="I90" s="48">
        <f t="shared" si="13"/>
        <v>0</v>
      </c>
      <c r="J90" s="48">
        <f t="shared" si="13"/>
        <v>0</v>
      </c>
      <c r="K90" s="48">
        <f t="shared" si="13"/>
        <v>0</v>
      </c>
    </row>
    <row r="91" spans="1:11" x14ac:dyDescent="0.3">
      <c r="A91" s="23">
        <f>H20</f>
        <v>2.46618600123309E-3</v>
      </c>
      <c r="B91" s="48">
        <f t="shared" si="13"/>
        <v>0.24074522780404148</v>
      </c>
      <c r="C91" s="48">
        <f t="shared" si="13"/>
        <v>1.3929265668519215E-2</v>
      </c>
      <c r="D91" s="48">
        <f t="shared" si="13"/>
        <v>11.332142274668676</v>
      </c>
      <c r="E91" s="48">
        <f t="shared" si="13"/>
        <v>4.4658552117407366E-2</v>
      </c>
      <c r="F91" s="48">
        <f t="shared" si="13"/>
        <v>0.43212893770724292</v>
      </c>
      <c r="G91" s="48">
        <f t="shared" si="13"/>
        <v>7.5357537978274305E-5</v>
      </c>
      <c r="H91" s="48">
        <f t="shared" si="13"/>
        <v>8.0029253560970478E-4</v>
      </c>
      <c r="I91" s="48">
        <f t="shared" si="13"/>
        <v>0</v>
      </c>
      <c r="J91" s="48">
        <f t="shared" si="13"/>
        <v>0</v>
      </c>
      <c r="K91" s="48">
        <f t="shared" si="13"/>
        <v>0</v>
      </c>
    </row>
    <row r="92" spans="1:11" x14ac:dyDescent="0.3">
      <c r="A92" s="23">
        <f>I20</f>
        <v>0</v>
      </c>
      <c r="B92" s="48">
        <f t="shared" si="13"/>
        <v>0</v>
      </c>
      <c r="C92" s="48">
        <f t="shared" si="13"/>
        <v>0</v>
      </c>
      <c r="D92" s="48">
        <f t="shared" si="13"/>
        <v>0</v>
      </c>
      <c r="E92" s="48">
        <f t="shared" si="13"/>
        <v>0</v>
      </c>
      <c r="F92" s="48">
        <f t="shared" si="13"/>
        <v>0</v>
      </c>
      <c r="G92" s="48">
        <f t="shared" si="13"/>
        <v>0</v>
      </c>
      <c r="H92" s="48">
        <f t="shared" si="13"/>
        <v>0</v>
      </c>
      <c r="I92" s="48">
        <f t="shared" si="13"/>
        <v>0</v>
      </c>
      <c r="J92" s="48">
        <f t="shared" si="13"/>
        <v>0</v>
      </c>
      <c r="K92" s="48">
        <f t="shared" si="13"/>
        <v>0</v>
      </c>
    </row>
    <row r="93" spans="1:11" x14ac:dyDescent="0.3">
      <c r="A93" s="23">
        <f>J20</f>
        <v>0</v>
      </c>
      <c r="B93" s="48">
        <f t="shared" si="13"/>
        <v>0</v>
      </c>
      <c r="C93" s="48">
        <f t="shared" si="13"/>
        <v>0</v>
      </c>
      <c r="D93" s="48">
        <f t="shared" si="13"/>
        <v>0</v>
      </c>
      <c r="E93" s="48">
        <f t="shared" si="13"/>
        <v>0</v>
      </c>
      <c r="F93" s="48">
        <f t="shared" si="13"/>
        <v>0</v>
      </c>
      <c r="G93" s="48">
        <f t="shared" si="13"/>
        <v>0</v>
      </c>
      <c r="H93" s="48">
        <f t="shared" si="13"/>
        <v>0</v>
      </c>
      <c r="I93" s="48">
        <f t="shared" si="13"/>
        <v>0</v>
      </c>
      <c r="J93" s="48">
        <f t="shared" si="13"/>
        <v>0</v>
      </c>
      <c r="K93" s="48">
        <f t="shared" si="13"/>
        <v>0</v>
      </c>
    </row>
    <row r="94" spans="1:11" x14ac:dyDescent="0.3">
      <c r="A94" s="23">
        <f>K20</f>
        <v>0</v>
      </c>
      <c r="B94" s="48">
        <f t="shared" si="13"/>
        <v>0</v>
      </c>
      <c r="C94" s="48">
        <f t="shared" si="13"/>
        <v>0</v>
      </c>
      <c r="D94" s="48">
        <f t="shared" si="13"/>
        <v>0</v>
      </c>
      <c r="E94" s="48">
        <f t="shared" si="13"/>
        <v>0</v>
      </c>
      <c r="F94" s="48">
        <f t="shared" si="13"/>
        <v>0</v>
      </c>
      <c r="G94" s="48">
        <f t="shared" si="13"/>
        <v>0</v>
      </c>
      <c r="H94" s="48">
        <f t="shared" si="13"/>
        <v>0</v>
      </c>
      <c r="I94" s="48">
        <f t="shared" si="13"/>
        <v>0</v>
      </c>
      <c r="J94" s="48">
        <f t="shared" si="13"/>
        <v>0</v>
      </c>
      <c r="K94" s="48">
        <f t="shared" si="13"/>
        <v>0</v>
      </c>
    </row>
    <row r="98" spans="1:12" x14ac:dyDescent="0.3">
      <c r="A98" s="48" t="str">
        <f t="shared" ref="A98:K98" si="14">A20</f>
        <v>Mole Fraction, xi</v>
      </c>
      <c r="B98" s="48">
        <f t="shared" si="14"/>
        <v>5.6064625028032299E-2</v>
      </c>
      <c r="C98" s="48">
        <f t="shared" si="14"/>
        <v>0.35036280317518098</v>
      </c>
      <c r="D98" s="48">
        <f t="shared" si="14"/>
        <v>0.43830151021915098</v>
      </c>
      <c r="E98" s="48">
        <f t="shared" si="14"/>
        <v>6.4888090032444001E-2</v>
      </c>
      <c r="F98" s="48">
        <f t="shared" si="14"/>
        <v>8.7883903043941905E-2</v>
      </c>
      <c r="G98" s="48">
        <f t="shared" si="14"/>
        <v>3.2882500016441298E-5</v>
      </c>
      <c r="H98" s="48">
        <f t="shared" si="14"/>
        <v>2.46618600123309E-3</v>
      </c>
      <c r="I98" s="48">
        <f t="shared" si="14"/>
        <v>0</v>
      </c>
      <c r="J98" s="48">
        <f t="shared" si="14"/>
        <v>0</v>
      </c>
      <c r="K98" s="48">
        <f t="shared" si="14"/>
        <v>0</v>
      </c>
    </row>
    <row r="99" spans="1:12" x14ac:dyDescent="0.3">
      <c r="A99" s="48" t="str">
        <f t="shared" ref="A99:K99" si="15">A25</f>
        <v>bi</v>
      </c>
      <c r="B99" s="48">
        <f t="shared" si="15"/>
        <v>29.822236502982935</v>
      </c>
      <c r="C99" s="48">
        <f t="shared" si="15"/>
        <v>18.495108614637878</v>
      </c>
      <c r="D99" s="48">
        <f t="shared" si="15"/>
        <v>21.080121663317289</v>
      </c>
      <c r="E99" s="48">
        <f t="shared" si="15"/>
        <v>27.361107167868042</v>
      </c>
      <c r="F99" s="48">
        <f t="shared" si="15"/>
        <v>29.685050872965803</v>
      </c>
      <c r="G99" s="48">
        <f t="shared" si="15"/>
        <v>22.193361519524831</v>
      </c>
      <c r="H99" s="48">
        <f t="shared" si="15"/>
        <v>26.764299263394239</v>
      </c>
      <c r="I99" s="48">
        <f t="shared" si="15"/>
        <v>22.083766681580162</v>
      </c>
      <c r="J99" s="48">
        <f t="shared" si="15"/>
        <v>25.989390041426933</v>
      </c>
      <c r="K99" s="48">
        <f t="shared" si="15"/>
        <v>45.610069187003702</v>
      </c>
    </row>
    <row r="100" spans="1:12" x14ac:dyDescent="0.3">
      <c r="A100" s="48" t="s">
        <v>136</v>
      </c>
      <c r="B100" s="48">
        <f>B98*B99</f>
        <v>1.6719725070370355</v>
      </c>
      <c r="C100" s="48">
        <f t="shared" ref="C100:K100" si="16">C98*C99</f>
        <v>6.4799980992539652</v>
      </c>
      <c r="D100" s="48">
        <f t="shared" si="16"/>
        <v>9.2394491606354094</v>
      </c>
      <c r="E100" s="48">
        <f t="shared" si="16"/>
        <v>1.7754099852959704</v>
      </c>
      <c r="F100" s="48">
        <f t="shared" si="16"/>
        <v>2.6088381327742098</v>
      </c>
      <c r="G100" s="48">
        <f t="shared" si="16"/>
        <v>7.2977321053066297E-4</v>
      </c>
      <c r="H100" s="48">
        <f t="shared" si="16"/>
        <v>6.6005740176195982E-2</v>
      </c>
      <c r="I100" s="48">
        <f t="shared" si="16"/>
        <v>0</v>
      </c>
      <c r="J100" s="48">
        <f t="shared" si="16"/>
        <v>0</v>
      </c>
      <c r="K100" s="48">
        <f t="shared" si="16"/>
        <v>0</v>
      </c>
    </row>
    <row r="105" spans="1:12" ht="18" x14ac:dyDescent="0.3">
      <c r="A105" s="78" t="s">
        <v>133</v>
      </c>
      <c r="B105" s="78"/>
      <c r="C105" s="78"/>
      <c r="D105" s="78"/>
      <c r="F105" s="77" t="s">
        <v>144</v>
      </c>
      <c r="G105" s="77"/>
      <c r="H105" s="77"/>
      <c r="I105" s="77"/>
      <c r="J105" s="77"/>
      <c r="K105" s="77"/>
      <c r="L105" s="77"/>
    </row>
    <row r="106" spans="1:12" ht="18" x14ac:dyDescent="0.3">
      <c r="A106" s="47" t="s">
        <v>134</v>
      </c>
      <c r="B106" s="47">
        <f>SUM(B85:K94)</f>
        <v>68030.824875167571</v>
      </c>
      <c r="C106" s="17"/>
      <c r="D106" s="15"/>
    </row>
    <row r="107" spans="1:12" ht="18" x14ac:dyDescent="0.3">
      <c r="A107" s="17" t="s">
        <v>135</v>
      </c>
      <c r="B107" s="17">
        <f>SUM(B100:K100)</f>
        <v>21.842403398383315</v>
      </c>
      <c r="C107" s="47"/>
      <c r="D107" s="15"/>
      <c r="F107" s="48" t="s">
        <v>145</v>
      </c>
      <c r="G107" s="48">
        <f>((3*B116)-(B115^2))/3</f>
        <v>-0.33791869513399792</v>
      </c>
    </row>
    <row r="108" spans="1:12" x14ac:dyDescent="0.3">
      <c r="A108" s="46"/>
      <c r="B108" s="46"/>
      <c r="C108" s="46"/>
      <c r="D108" s="46"/>
      <c r="F108" s="48" t="s">
        <v>146</v>
      </c>
      <c r="G108" s="48">
        <f>((2*B115^3)-(9*B115*B116)+(27*B117))/27</f>
        <v>-7.5619915597480172E-2</v>
      </c>
    </row>
    <row r="109" spans="1:12" ht="15.6" x14ac:dyDescent="0.3">
      <c r="A109" s="14" t="s">
        <v>137</v>
      </c>
      <c r="B109" s="14">
        <f>(B106*B8)/((B4*B7)^2)</f>
        <v>2.4786864852301854E-3</v>
      </c>
      <c r="C109" s="46"/>
      <c r="D109" s="46"/>
      <c r="F109" s="48" t="s">
        <v>147</v>
      </c>
      <c r="G109" s="48">
        <f>((G108^2)/4)+((G107^3)/27)</f>
        <v>4.5909677377016685E-7</v>
      </c>
    </row>
    <row r="110" spans="1:12" ht="15.6" x14ac:dyDescent="0.3">
      <c r="A110" s="14" t="s">
        <v>138</v>
      </c>
      <c r="B110" s="14">
        <f>(B107*B8)/(B4*B7)</f>
        <v>7.0148403014400982E-3</v>
      </c>
      <c r="C110" s="46"/>
      <c r="D110" s="46"/>
    </row>
    <row r="111" spans="1:12" x14ac:dyDescent="0.3">
      <c r="F111" s="79" t="s">
        <v>150</v>
      </c>
      <c r="G111" s="79"/>
      <c r="H111" s="79"/>
      <c r="I111" s="79"/>
      <c r="J111" s="79"/>
      <c r="K111" s="79"/>
    </row>
    <row r="112" spans="1:12" x14ac:dyDescent="0.3">
      <c r="F112" s="79" t="s">
        <v>151</v>
      </c>
      <c r="G112" s="79"/>
      <c r="H112" s="79"/>
      <c r="I112" s="79"/>
      <c r="J112" s="79"/>
      <c r="K112" s="79"/>
    </row>
    <row r="113" spans="1:13" x14ac:dyDescent="0.3">
      <c r="A113" s="79" t="s">
        <v>139</v>
      </c>
      <c r="B113" s="79"/>
      <c r="C113" s="79"/>
      <c r="D113" s="79"/>
      <c r="E113" s="79"/>
    </row>
    <row r="114" spans="1:13" x14ac:dyDescent="0.3">
      <c r="A114" s="48" t="s">
        <v>142</v>
      </c>
      <c r="B114" s="48">
        <v>1</v>
      </c>
    </row>
    <row r="115" spans="1:13" x14ac:dyDescent="0.3">
      <c r="A115" s="48" t="s">
        <v>141</v>
      </c>
      <c r="B115" s="48">
        <v>-1</v>
      </c>
    </row>
    <row r="116" spans="1:13" x14ac:dyDescent="0.3">
      <c r="A116" s="48" t="s">
        <v>140</v>
      </c>
      <c r="B116" s="48">
        <f>B109-B110-B110^2</f>
        <v>-4.5853618006646219E-3</v>
      </c>
    </row>
    <row r="117" spans="1:13" x14ac:dyDescent="0.3">
      <c r="A117" s="48" t="s">
        <v>143</v>
      </c>
      <c r="B117" s="48">
        <f>-B109*B110</f>
        <v>-1.738758985122761E-5</v>
      </c>
    </row>
    <row r="121" spans="1:13" x14ac:dyDescent="0.3">
      <c r="A121" s="77" t="s">
        <v>148</v>
      </c>
      <c r="B121" s="77"/>
      <c r="C121" s="77"/>
      <c r="D121" s="77"/>
      <c r="E121" s="77"/>
      <c r="F121" s="46"/>
      <c r="G121" s="77" t="s">
        <v>149</v>
      </c>
      <c r="H121" s="77"/>
      <c r="I121" s="77"/>
      <c r="J121" s="77"/>
      <c r="K121" s="77"/>
      <c r="L121" s="77"/>
      <c r="M121" s="77"/>
    </row>
    <row r="123" spans="1:13" x14ac:dyDescent="0.3">
      <c r="A123" s="48" t="s">
        <v>152</v>
      </c>
      <c r="B123" s="48">
        <f>(-($G$108/2)-SQRT($G$109))^(1/3)</f>
        <v>0.33361915006303672</v>
      </c>
      <c r="G123" s="48" t="s">
        <v>124</v>
      </c>
      <c r="H123" s="48">
        <f>2*SQRT(-G107/3)</f>
        <v>0.67123636684752408</v>
      </c>
    </row>
    <row r="124" spans="1:13" x14ac:dyDescent="0.3">
      <c r="A124" s="48" t="s">
        <v>153</v>
      </c>
      <c r="B124" s="48">
        <f>(-($G$108/2)+SQRT($G$109))^(1/3)</f>
        <v>0.3376291949169673</v>
      </c>
      <c r="G124" s="48" t="s">
        <v>152</v>
      </c>
      <c r="H124" s="48">
        <f>(3*G108)/(G107*H123)</f>
        <v>1.0001606077421294</v>
      </c>
      <c r="J124" s="48" t="s">
        <v>157</v>
      </c>
      <c r="K124" s="48" t="e">
        <f>($H$123*COS($H$127))-(B115/3)</f>
        <v>#NUM!</v>
      </c>
    </row>
    <row r="125" spans="1:13" x14ac:dyDescent="0.3">
      <c r="J125" s="48" t="s">
        <v>158</v>
      </c>
      <c r="K125" s="48" t="e">
        <f>($H$123*COS($H$127 +((4*PI())/3)))-(B115/3)</f>
        <v>#NUM!</v>
      </c>
    </row>
    <row r="126" spans="1:13" x14ac:dyDescent="0.3">
      <c r="A126" s="48" t="s">
        <v>154</v>
      </c>
      <c r="B126" s="48">
        <f>B123+B124-(B115/3)</f>
        <v>1.0045816783133372</v>
      </c>
      <c r="G126" s="48" t="s">
        <v>155</v>
      </c>
      <c r="H126" s="48" t="e">
        <f>ACOS(H124)</f>
        <v>#NUM!</v>
      </c>
      <c r="J126" s="48" t="s">
        <v>159</v>
      </c>
      <c r="K126" s="48" t="e">
        <f>($H$123*COS($H$127 +((2*PI())/3)))-(B115/3)</f>
        <v>#NUM!</v>
      </c>
    </row>
    <row r="127" spans="1:13" x14ac:dyDescent="0.3">
      <c r="G127" s="48" t="s">
        <v>156</v>
      </c>
      <c r="H127" s="48" t="e">
        <f>H126/3</f>
        <v>#NUM!</v>
      </c>
    </row>
  </sheetData>
  <mergeCells count="18">
    <mergeCell ref="A105:D105"/>
    <mergeCell ref="F105:L105"/>
    <mergeCell ref="E12:F12"/>
    <mergeCell ref="G12:I12"/>
    <mergeCell ref="A1:L2"/>
    <mergeCell ref="E6:F6"/>
    <mergeCell ref="G6:I6"/>
    <mergeCell ref="I7:J7"/>
    <mergeCell ref="C27:C28"/>
    <mergeCell ref="E9:F11"/>
    <mergeCell ref="E13:F13"/>
    <mergeCell ref="E14:J14"/>
    <mergeCell ref="A33:I33"/>
    <mergeCell ref="F111:K111"/>
    <mergeCell ref="F112:K112"/>
    <mergeCell ref="A113:E113"/>
    <mergeCell ref="A121:E121"/>
    <mergeCell ref="G121:M1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5740-231C-4CC5-9B4A-9AE1B09AD8E8}">
  <dimension ref="A1:N163"/>
  <sheetViews>
    <sheetView topLeftCell="A66" workbookViewId="0">
      <selection activeCell="C92" sqref="C92"/>
    </sheetView>
  </sheetViews>
  <sheetFormatPr defaultRowHeight="14.4" x14ac:dyDescent="0.3"/>
  <cols>
    <col min="1" max="1" width="33.88671875" style="41" customWidth="1"/>
    <col min="2" max="2" width="16.5546875" style="41" customWidth="1"/>
    <col min="3" max="3" width="14.77734375" style="41" customWidth="1"/>
    <col min="4" max="4" width="14" style="41" customWidth="1"/>
    <col min="5" max="5" width="14.77734375" style="41" customWidth="1"/>
    <col min="6" max="6" width="17.88671875" style="41" customWidth="1"/>
    <col min="7" max="7" width="12.88671875" style="41" customWidth="1"/>
    <col min="8" max="8" width="12.21875" style="41" customWidth="1"/>
    <col min="9" max="9" width="12.33203125" style="41" customWidth="1"/>
    <col min="10" max="10" width="14.21875" style="41" customWidth="1"/>
    <col min="11" max="11" width="14" style="41" customWidth="1"/>
    <col min="12" max="12" width="14.88671875" style="41" customWidth="1"/>
    <col min="13" max="13" width="8.88671875" style="41" customWidth="1"/>
    <col min="14" max="16384" width="8.88671875" style="41"/>
  </cols>
  <sheetData>
    <row r="1" spans="1:14" ht="31.2" customHeight="1" x14ac:dyDescent="0.3">
      <c r="A1" s="91" t="s">
        <v>183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4" ht="31.2" customHeight="1" x14ac:dyDescent="0.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4" ht="19.2" customHeight="1" x14ac:dyDescent="0.3">
      <c r="A3" s="3"/>
      <c r="B3" s="3"/>
      <c r="C3" s="3"/>
    </row>
    <row r="4" spans="1:14" ht="22.8" customHeight="1" x14ac:dyDescent="0.3">
      <c r="A4" s="31" t="s">
        <v>177</v>
      </c>
      <c r="B4" s="32">
        <v>8.3144626181532395</v>
      </c>
      <c r="C4" s="31" t="s">
        <v>178</v>
      </c>
      <c r="J4" s="1"/>
      <c r="K4" s="1"/>
      <c r="L4" s="1"/>
      <c r="M4" s="1"/>
    </row>
    <row r="5" spans="1:14" ht="22.8" customHeight="1" x14ac:dyDescent="0.3">
      <c r="A5" s="29" t="s">
        <v>172</v>
      </c>
      <c r="B5" s="30">
        <v>25</v>
      </c>
      <c r="C5" s="29" t="s">
        <v>175</v>
      </c>
      <c r="E5" s="19"/>
      <c r="F5" s="19"/>
      <c r="G5" s="19"/>
      <c r="H5" s="18"/>
      <c r="I5" s="18"/>
    </row>
    <row r="6" spans="1:14" ht="22.8" customHeight="1" x14ac:dyDescent="0.3">
      <c r="A6" s="29" t="s">
        <v>173</v>
      </c>
      <c r="B6" s="30">
        <v>24.5</v>
      </c>
      <c r="C6" s="29" t="s">
        <v>176</v>
      </c>
      <c r="E6" s="85" t="s">
        <v>161</v>
      </c>
      <c r="F6" s="86"/>
      <c r="G6" s="85" t="s">
        <v>162</v>
      </c>
      <c r="H6" s="92"/>
      <c r="I6" s="86"/>
    </row>
    <row r="7" spans="1:14" ht="33.6" customHeight="1" x14ac:dyDescent="0.3">
      <c r="A7" s="33" t="s">
        <v>172</v>
      </c>
      <c r="B7" s="34">
        <f>B5+273.15</f>
        <v>298.14999999999998</v>
      </c>
      <c r="C7" s="33" t="s">
        <v>0</v>
      </c>
      <c r="E7" s="33" t="s">
        <v>163</v>
      </c>
      <c r="F7" s="36">
        <f>B7</f>
        <v>298.14999999999998</v>
      </c>
      <c r="G7" s="40" t="s">
        <v>164</v>
      </c>
      <c r="H7" s="40" t="s">
        <v>165</v>
      </c>
      <c r="I7" s="85" t="s">
        <v>166</v>
      </c>
      <c r="J7" s="86"/>
    </row>
    <row r="8" spans="1:14" ht="28.2" customHeight="1" x14ac:dyDescent="0.3">
      <c r="A8" s="33" t="s">
        <v>173</v>
      </c>
      <c r="B8" s="35">
        <f>ABS((B6-1.03323)*0.0980665)</f>
        <v>2.301304000205</v>
      </c>
      <c r="C8" s="33" t="s">
        <v>1</v>
      </c>
      <c r="E8" s="33" t="s">
        <v>167</v>
      </c>
      <c r="F8" s="37">
        <f>B8</f>
        <v>2.301304000205</v>
      </c>
      <c r="G8" s="20"/>
      <c r="H8" s="20" t="s">
        <v>170</v>
      </c>
      <c r="I8" s="20" t="s">
        <v>1</v>
      </c>
      <c r="J8" s="50" t="s">
        <v>182</v>
      </c>
      <c r="N8" s="53"/>
    </row>
    <row r="9" spans="1:14" ht="24" customHeight="1" x14ac:dyDescent="0.3">
      <c r="A9" s="21"/>
      <c r="B9" s="21"/>
      <c r="C9" s="21"/>
      <c r="E9" s="76" t="s">
        <v>171</v>
      </c>
      <c r="F9" s="76"/>
      <c r="G9" s="39" t="e">
        <f>K146</f>
        <v>#NUM!</v>
      </c>
      <c r="H9" s="39" t="e">
        <f>G9*$B$4*$B$7/$B$8</f>
        <v>#NUM!</v>
      </c>
      <c r="I9" s="39" t="e">
        <f>$B$8*EXP(G9-1-LN(G9-$B$11)-$B$10/$B$11/2.8284*LN((G9+2.4142*$B$11)/(G9-0.4142*$B$11)))</f>
        <v>#NUM!</v>
      </c>
      <c r="J9" s="51" t="e">
        <f t="shared" ref="J9:J11" si="0">(I9/0.0980665)+1.03323</f>
        <v>#NUM!</v>
      </c>
    </row>
    <row r="10" spans="1:14" ht="26.4" customHeight="1" x14ac:dyDescent="0.3">
      <c r="A10" s="52" t="str">
        <f>A131</f>
        <v>A</v>
      </c>
      <c r="B10" s="52">
        <f>B131</f>
        <v>3.6080312969839483E-2</v>
      </c>
      <c r="C10" s="21"/>
      <c r="E10" s="76"/>
      <c r="F10" s="76"/>
      <c r="G10" s="39" t="e">
        <f>K147</f>
        <v>#NUM!</v>
      </c>
      <c r="H10" s="39" t="e">
        <f t="shared" ref="H10:H11" si="1">G10*$B$4*$B$7/$B$8</f>
        <v>#NUM!</v>
      </c>
      <c r="I10" s="39" t="e">
        <f t="shared" ref="I10:I11" si="2">$B$8*EXP(G10-1-LN(G10-$B$11)-$B$10/$B$11/2.8284*LN((G10+2.4142*$B$11)/(G10-0.4142*$B$11)))</f>
        <v>#NUM!</v>
      </c>
      <c r="J10" s="51" t="e">
        <f t="shared" si="0"/>
        <v>#NUM!</v>
      </c>
      <c r="K10" s="53"/>
      <c r="L10" s="5"/>
      <c r="M10" s="5"/>
      <c r="N10" s="5"/>
    </row>
    <row r="11" spans="1:14" ht="25.2" customHeight="1" x14ac:dyDescent="0.3">
      <c r="A11" s="52" t="str">
        <f>A132</f>
        <v>B</v>
      </c>
      <c r="B11" s="52">
        <f>B132</f>
        <v>1.7465423570590964E-2</v>
      </c>
      <c r="C11" s="21"/>
      <c r="E11" s="76"/>
      <c r="F11" s="76"/>
      <c r="G11" s="39" t="e">
        <f>K148</f>
        <v>#NUM!</v>
      </c>
      <c r="H11" s="39" t="e">
        <f t="shared" si="1"/>
        <v>#NUM!</v>
      </c>
      <c r="I11" s="39" t="e">
        <f t="shared" si="2"/>
        <v>#NUM!</v>
      </c>
      <c r="J11" s="51" t="e">
        <f t="shared" si="0"/>
        <v>#NUM!</v>
      </c>
      <c r="K11" s="53"/>
    </row>
    <row r="12" spans="1:14" ht="26.4" customHeight="1" x14ac:dyDescent="0.3">
      <c r="E12" s="76" t="s">
        <v>168</v>
      </c>
      <c r="F12" s="76"/>
      <c r="G12" s="39">
        <f>B148</f>
        <v>0.98262728738978622</v>
      </c>
      <c r="H12" s="39">
        <f>G12*$B$4*$B$7/$B$8</f>
        <v>1058.4828520426017</v>
      </c>
      <c r="I12" s="39">
        <f>$B$8*EXP(G12-1-LN(G12-$B$11)-$B$10/$B$11/2.8284*LN((G12+2.4142*$B$11)/(G12-0.4142*$B$11)))</f>
        <v>2.2602566242635116</v>
      </c>
      <c r="J12" s="51">
        <f>(I12/0.0980665)+1.03323</f>
        <v>24.08143325252264</v>
      </c>
    </row>
    <row r="13" spans="1:14" ht="15.6" x14ac:dyDescent="0.3">
      <c r="E13" s="85" t="s">
        <v>169</v>
      </c>
      <c r="F13" s="92"/>
      <c r="G13" s="92"/>
      <c r="H13" s="92"/>
      <c r="I13" s="92"/>
      <c r="J13" s="86"/>
    </row>
    <row r="14" spans="1:14" s="53" customFormat="1" ht="15.6" x14ac:dyDescent="0.3">
      <c r="E14" s="19"/>
      <c r="F14" s="19"/>
      <c r="G14" s="19"/>
      <c r="H14" s="19"/>
      <c r="I14" s="19"/>
      <c r="J14" s="19"/>
    </row>
    <row r="15" spans="1:14" x14ac:dyDescent="0.3">
      <c r="A15" s="77"/>
      <c r="B15" s="77"/>
      <c r="C15" s="79" t="s">
        <v>194</v>
      </c>
      <c r="D15" s="79"/>
      <c r="E15" s="79"/>
      <c r="F15" s="79"/>
      <c r="G15" s="79"/>
      <c r="H15" s="79"/>
      <c r="I15" s="79"/>
      <c r="J15" s="79"/>
      <c r="K15" s="79"/>
      <c r="L15" s="79"/>
    </row>
    <row r="16" spans="1:14" s="53" customFormat="1" x14ac:dyDescent="0.3">
      <c r="A16" s="77"/>
      <c r="B16" s="77"/>
      <c r="C16" s="53">
        <v>1</v>
      </c>
      <c r="D16" s="53">
        <v>2</v>
      </c>
      <c r="E16" s="53">
        <v>3</v>
      </c>
      <c r="F16" s="53">
        <v>4</v>
      </c>
      <c r="G16" s="53">
        <v>5</v>
      </c>
      <c r="H16" s="53">
        <v>6</v>
      </c>
      <c r="I16" s="53">
        <v>7</v>
      </c>
      <c r="J16" s="53">
        <v>8</v>
      </c>
      <c r="K16" s="53">
        <v>9</v>
      </c>
      <c r="L16" s="53">
        <v>10</v>
      </c>
    </row>
    <row r="17" spans="1:12" x14ac:dyDescent="0.3">
      <c r="A17" s="77" t="s">
        <v>164</v>
      </c>
      <c r="B17" s="41" t="e">
        <f>G9</f>
        <v>#NUM!</v>
      </c>
      <c r="C17" s="5" t="e">
        <f t="shared" ref="C17:L18" si="3">EXP(((B$32/$B$129)*($G9-1))-(LN($G9-P))-(($B$10/(2*SQRT(2)*P))*((2*B$124/$B$128)-(B$32/$B$129))*(LN(($G9+2.414*P)/($G9-0.414*P)))))</f>
        <v>#NUM!</v>
      </c>
      <c r="D17" s="5" t="e">
        <f t="shared" si="3"/>
        <v>#NUM!</v>
      </c>
      <c r="E17" s="5" t="e">
        <f t="shared" si="3"/>
        <v>#NUM!</v>
      </c>
      <c r="F17" s="5" t="e">
        <f t="shared" si="3"/>
        <v>#NUM!</v>
      </c>
      <c r="G17" s="5" t="e">
        <f t="shared" si="3"/>
        <v>#NUM!</v>
      </c>
      <c r="H17" s="5" t="e">
        <f t="shared" si="3"/>
        <v>#NUM!</v>
      </c>
      <c r="I17" s="5" t="e">
        <f t="shared" si="3"/>
        <v>#NUM!</v>
      </c>
      <c r="J17" s="5" t="e">
        <f t="shared" si="3"/>
        <v>#NUM!</v>
      </c>
      <c r="K17" s="5" t="e">
        <f t="shared" si="3"/>
        <v>#NUM!</v>
      </c>
      <c r="L17" s="5" t="e">
        <f t="shared" si="3"/>
        <v>#NUM!</v>
      </c>
    </row>
    <row r="18" spans="1:12" s="58" customFormat="1" x14ac:dyDescent="0.3">
      <c r="A18" s="77"/>
      <c r="B18" s="58" t="e">
        <f>G10</f>
        <v>#NUM!</v>
      </c>
      <c r="C18" s="5" t="e">
        <f t="shared" si="3"/>
        <v>#NUM!</v>
      </c>
      <c r="D18" s="5" t="e">
        <f t="shared" si="3"/>
        <v>#NUM!</v>
      </c>
      <c r="E18" s="5" t="e">
        <f t="shared" si="3"/>
        <v>#NUM!</v>
      </c>
      <c r="F18" s="5" t="e">
        <f t="shared" si="3"/>
        <v>#NUM!</v>
      </c>
      <c r="G18" s="5" t="e">
        <f t="shared" si="3"/>
        <v>#NUM!</v>
      </c>
      <c r="H18" s="5" t="e">
        <f t="shared" si="3"/>
        <v>#NUM!</v>
      </c>
      <c r="I18" s="5" t="e">
        <f t="shared" si="3"/>
        <v>#NUM!</v>
      </c>
      <c r="J18" s="5" t="e">
        <f t="shared" si="3"/>
        <v>#NUM!</v>
      </c>
      <c r="K18" s="5" t="e">
        <f t="shared" si="3"/>
        <v>#NUM!</v>
      </c>
      <c r="L18" s="5" t="e">
        <f t="shared" si="3"/>
        <v>#NUM!</v>
      </c>
    </row>
    <row r="19" spans="1:12" x14ac:dyDescent="0.3">
      <c r="A19" s="77"/>
      <c r="B19" s="41" t="e">
        <f>G11</f>
        <v>#NUM!</v>
      </c>
      <c r="C19" s="5" t="e">
        <f t="shared" ref="C19:L19" si="4">EXP(((B$32/$B$129)*($G11-1))-(LN($G11-P))-(($B$10/(2*SQRT(2)*P))*((2*B$124/$B$128)-(B$32/$B$129))*(LN(($G11+2.414*P)/($G11-0.414*P)))))</f>
        <v>#NUM!</v>
      </c>
      <c r="D19" s="5" t="e">
        <f t="shared" si="4"/>
        <v>#NUM!</v>
      </c>
      <c r="E19" s="5" t="e">
        <f t="shared" si="4"/>
        <v>#NUM!</v>
      </c>
      <c r="F19" s="5" t="e">
        <f t="shared" si="4"/>
        <v>#NUM!</v>
      </c>
      <c r="G19" s="5" t="e">
        <f t="shared" si="4"/>
        <v>#NUM!</v>
      </c>
      <c r="H19" s="5" t="e">
        <f t="shared" si="4"/>
        <v>#NUM!</v>
      </c>
      <c r="I19" s="5" t="e">
        <f t="shared" si="4"/>
        <v>#NUM!</v>
      </c>
      <c r="J19" s="5" t="e">
        <f t="shared" si="4"/>
        <v>#NUM!</v>
      </c>
      <c r="K19" s="5" t="e">
        <f t="shared" si="4"/>
        <v>#NUM!</v>
      </c>
      <c r="L19" s="5" t="e">
        <f t="shared" si="4"/>
        <v>#NUM!</v>
      </c>
    </row>
    <row r="20" spans="1:12" x14ac:dyDescent="0.3">
      <c r="A20" s="77" t="s">
        <v>193</v>
      </c>
      <c r="B20" s="77"/>
      <c r="C20" s="5" t="e">
        <f>C19/C17</f>
        <v>#NUM!</v>
      </c>
      <c r="D20" s="5" t="e">
        <f t="shared" ref="D20:L20" si="5">D19/D17</f>
        <v>#NUM!</v>
      </c>
      <c r="E20" s="5" t="e">
        <f t="shared" si="5"/>
        <v>#NUM!</v>
      </c>
      <c r="F20" s="5" t="e">
        <f t="shared" si="5"/>
        <v>#NUM!</v>
      </c>
      <c r="G20" s="5" t="e">
        <f t="shared" si="5"/>
        <v>#NUM!</v>
      </c>
      <c r="H20" s="5" t="e">
        <f t="shared" si="5"/>
        <v>#NUM!</v>
      </c>
      <c r="I20" s="5" t="e">
        <f t="shared" si="5"/>
        <v>#NUM!</v>
      </c>
      <c r="J20" s="5" t="e">
        <f t="shared" si="5"/>
        <v>#NUM!</v>
      </c>
      <c r="K20" s="5" t="e">
        <f t="shared" si="5"/>
        <v>#NUM!</v>
      </c>
      <c r="L20" s="5" t="e">
        <f t="shared" si="5"/>
        <v>#NUM!</v>
      </c>
    </row>
    <row r="22" spans="1:12" x14ac:dyDescent="0.3">
      <c r="A22" s="3"/>
      <c r="B22" s="2"/>
      <c r="C22" s="3"/>
    </row>
    <row r="23" spans="1:12" x14ac:dyDescent="0.3">
      <c r="A23" s="3" t="s">
        <v>2</v>
      </c>
      <c r="B23" s="2"/>
      <c r="C23" s="3"/>
    </row>
    <row r="25" spans="1:12" x14ac:dyDescent="0.3">
      <c r="A25" s="7" t="s">
        <v>12</v>
      </c>
      <c r="B25" s="24" t="s">
        <v>3</v>
      </c>
      <c r="C25" s="24" t="s">
        <v>4</v>
      </c>
      <c r="D25" s="24" t="s">
        <v>5</v>
      </c>
      <c r="E25" s="24" t="s">
        <v>6</v>
      </c>
      <c r="F25" s="24" t="s">
        <v>7</v>
      </c>
      <c r="G25" s="24" t="s">
        <v>8</v>
      </c>
      <c r="H25" s="24" t="s">
        <v>9</v>
      </c>
      <c r="I25" s="24" t="s">
        <v>10</v>
      </c>
      <c r="J25" s="24" t="s">
        <v>19</v>
      </c>
      <c r="K25" s="24" t="s">
        <v>20</v>
      </c>
    </row>
    <row r="26" spans="1:12" x14ac:dyDescent="0.3">
      <c r="A26" s="8" t="s">
        <v>13</v>
      </c>
      <c r="B26" s="41">
        <v>1</v>
      </c>
      <c r="C26" s="41">
        <v>2</v>
      </c>
      <c r="D26" s="41">
        <v>3</v>
      </c>
      <c r="E26" s="41">
        <v>4</v>
      </c>
      <c r="F26" s="41">
        <v>5</v>
      </c>
      <c r="G26" s="41">
        <v>6</v>
      </c>
      <c r="H26" s="41">
        <v>7</v>
      </c>
      <c r="I26" s="41">
        <v>8</v>
      </c>
      <c r="J26" s="41">
        <v>9</v>
      </c>
      <c r="K26" s="41">
        <v>10</v>
      </c>
      <c r="L26" s="42" t="s">
        <v>179</v>
      </c>
    </row>
    <row r="27" spans="1:12" ht="23.4" customHeight="1" x14ac:dyDescent="0.3">
      <c r="A27" s="22" t="s">
        <v>174</v>
      </c>
      <c r="B27" s="56">
        <v>7.5040000000000003E-3</v>
      </c>
      <c r="C27" s="57">
        <v>0.62304000000000004</v>
      </c>
      <c r="D27" s="57">
        <v>0.117713</v>
      </c>
      <c r="E27" s="56">
        <v>0</v>
      </c>
      <c r="F27" s="56">
        <v>0</v>
      </c>
      <c r="G27" s="56">
        <v>2.993E-3</v>
      </c>
      <c r="H27" s="56">
        <v>0.248751</v>
      </c>
      <c r="I27" s="57">
        <v>0</v>
      </c>
      <c r="J27" s="57">
        <v>0</v>
      </c>
      <c r="K27" s="57">
        <v>0</v>
      </c>
      <c r="L27" s="57">
        <f>SUM(B27:K27)</f>
        <v>1.0000009999999999</v>
      </c>
    </row>
    <row r="28" spans="1:12" ht="15.6" x14ac:dyDescent="0.35">
      <c r="A28" s="8" t="s">
        <v>14</v>
      </c>
      <c r="B28">
        <v>190.6</v>
      </c>
      <c r="C28">
        <v>33.299999999999997</v>
      </c>
      <c r="D28">
        <v>647.29999999999995</v>
      </c>
      <c r="E28">
        <v>132.9</v>
      </c>
      <c r="F28">
        <v>304.2</v>
      </c>
      <c r="G28">
        <v>150.9</v>
      </c>
      <c r="H28">
        <v>126.1</v>
      </c>
      <c r="I28">
        <v>154.6</v>
      </c>
      <c r="J28">
        <v>406.6</v>
      </c>
      <c r="K28">
        <v>512.6</v>
      </c>
    </row>
    <row r="29" spans="1:12" ht="15.6" x14ac:dyDescent="0.35">
      <c r="A29" s="8" t="s">
        <v>15</v>
      </c>
      <c r="B29">
        <v>4.6040000000000001</v>
      </c>
      <c r="C29">
        <v>1.2969999999999999</v>
      </c>
      <c r="D29">
        <v>22.12</v>
      </c>
      <c r="E29">
        <v>3.4990000000000001</v>
      </c>
      <c r="F29">
        <v>7.3819999999999997</v>
      </c>
      <c r="G29">
        <v>4.8979999999999997</v>
      </c>
      <c r="H29">
        <v>3.3940000000000001</v>
      </c>
      <c r="I29">
        <v>5.0430000000000001</v>
      </c>
      <c r="J29">
        <v>11.27</v>
      </c>
      <c r="K29">
        <v>8.0960000000000001</v>
      </c>
    </row>
    <row r="30" spans="1:12" ht="15.6" x14ac:dyDescent="0.35">
      <c r="A30" s="10" t="s">
        <v>17</v>
      </c>
      <c r="B30">
        <v>1.0999999999999999E-2</v>
      </c>
      <c r="C30">
        <v>-0.215</v>
      </c>
      <c r="D30">
        <v>0.34399999999999997</v>
      </c>
      <c r="E30">
        <v>6.6000000000000003E-2</v>
      </c>
      <c r="F30">
        <v>0.22800000000000001</v>
      </c>
      <c r="G30">
        <v>-4.0000000000000001E-3</v>
      </c>
      <c r="H30">
        <v>0.04</v>
      </c>
      <c r="I30">
        <v>2.1999999999999999E-2</v>
      </c>
      <c r="J30">
        <v>0.252</v>
      </c>
      <c r="K30">
        <v>0.56599999999999995</v>
      </c>
    </row>
    <row r="31" spans="1:12" ht="15.6" x14ac:dyDescent="0.35">
      <c r="A31" s="9" t="s">
        <v>18</v>
      </c>
      <c r="B31" s="41">
        <f>(0.4572355289*($B$4*B28)^2)/B29</f>
        <v>249412.84546161027</v>
      </c>
      <c r="C31" s="48">
        <f t="shared" ref="C31:K31" si="6">(0.4572355289*($B$4*C28)^2)/C29</f>
        <v>27024.447909529943</v>
      </c>
      <c r="D31" s="48">
        <f t="shared" si="6"/>
        <v>598734.70304433804</v>
      </c>
      <c r="E31" s="48">
        <f t="shared" si="6"/>
        <v>159556.44772561549</v>
      </c>
      <c r="F31" s="48">
        <f t="shared" si="6"/>
        <v>396234.89351413411</v>
      </c>
      <c r="G31" s="48">
        <f t="shared" si="6"/>
        <v>146949.47479447565</v>
      </c>
      <c r="H31" s="48">
        <f t="shared" si="6"/>
        <v>148090.32104152735</v>
      </c>
      <c r="I31" s="48">
        <f t="shared" si="6"/>
        <v>149809.15364799672</v>
      </c>
      <c r="J31" s="48">
        <f t="shared" si="6"/>
        <v>463680.86291069363</v>
      </c>
      <c r="K31" s="48">
        <f t="shared" si="6"/>
        <v>1025876.410746834</v>
      </c>
    </row>
    <row r="32" spans="1:12" ht="15.6" x14ac:dyDescent="0.35">
      <c r="A32" s="9" t="s">
        <v>16</v>
      </c>
      <c r="B32" s="41">
        <f>(0.0777960739*$B$4*B28)/B29</f>
        <v>26.778080734641481</v>
      </c>
      <c r="C32" s="48">
        <f t="shared" ref="C32:K32" si="7">(0.0777960739*$B$4*C28)/C29</f>
        <v>16.607188787775794</v>
      </c>
      <c r="D32" s="48">
        <f t="shared" si="7"/>
        <v>18.928332210762033</v>
      </c>
      <c r="E32" s="48">
        <f t="shared" si="7"/>
        <v>24.568175383394298</v>
      </c>
      <c r="F32" s="48">
        <f t="shared" si="7"/>
        <v>26.654898562309636</v>
      </c>
      <c r="G32" s="48">
        <f t="shared" si="7"/>
        <v>19.927936205706025</v>
      </c>
      <c r="H32" s="48">
        <f t="shared" si="7"/>
        <v>24.032287665936447</v>
      </c>
      <c r="I32" s="48">
        <f t="shared" si="7"/>
        <v>19.829528448182916</v>
      </c>
      <c r="J32" s="48">
        <f t="shared" si="7"/>
        <v>23.336478627409665</v>
      </c>
      <c r="K32" s="48">
        <f t="shared" si="7"/>
        <v>40.954343410159886</v>
      </c>
    </row>
    <row r="33" spans="1:11" x14ac:dyDescent="0.3">
      <c r="A33" s="10" t="s">
        <v>123</v>
      </c>
      <c r="B33" s="41">
        <f>$B$7/B28</f>
        <v>1.5642707240293807</v>
      </c>
      <c r="C33" s="41">
        <f t="shared" ref="C33:K33" si="8">$B$7/C28</f>
        <v>8.953453453453454</v>
      </c>
      <c r="D33" s="41">
        <f t="shared" si="8"/>
        <v>0.46060559246099181</v>
      </c>
      <c r="E33" s="41">
        <f t="shared" si="8"/>
        <v>2.2434161023325805</v>
      </c>
      <c r="F33" s="41">
        <f t="shared" si="8"/>
        <v>0.98011176857330695</v>
      </c>
      <c r="G33" s="41">
        <f t="shared" si="8"/>
        <v>1.9758117958913186</v>
      </c>
      <c r="H33" s="41">
        <f t="shared" si="8"/>
        <v>2.3643933386201428</v>
      </c>
      <c r="I33" s="41">
        <f t="shared" si="8"/>
        <v>1.9285252263906856</v>
      </c>
      <c r="J33" s="41">
        <f t="shared" si="8"/>
        <v>0.73327594687653708</v>
      </c>
      <c r="K33" s="41">
        <f t="shared" si="8"/>
        <v>0.58164260632071785</v>
      </c>
    </row>
    <row r="34" spans="1:11" x14ac:dyDescent="0.3">
      <c r="A34" s="23" t="s">
        <v>124</v>
      </c>
      <c r="B34" s="41">
        <f>0.37464+(1.54226*B30)-(0.26992*B30^2)</f>
        <v>0.39157219967999995</v>
      </c>
      <c r="C34" s="44">
        <f t="shared" ref="C34:K34" si="9">0.37464+(1.54226*C30)-(0.26992*C30^2)</f>
        <v>3.0577047999999985E-2</v>
      </c>
      <c r="D34" s="44">
        <f t="shared" si="9"/>
        <v>0.87323618687999993</v>
      </c>
      <c r="E34" s="44">
        <f t="shared" si="9"/>
        <v>0.47525338847999998</v>
      </c>
      <c r="F34" s="44">
        <f t="shared" si="9"/>
        <v>0.71224375872000001</v>
      </c>
      <c r="G34" s="44">
        <f t="shared" si="9"/>
        <v>0.36846664127999995</v>
      </c>
      <c r="H34" s="44">
        <f t="shared" si="9"/>
        <v>0.43589852799999995</v>
      </c>
      <c r="I34" s="44">
        <f t="shared" si="9"/>
        <v>0.40843907871999996</v>
      </c>
      <c r="J34" s="44">
        <f t="shared" si="9"/>
        <v>0.7461485203199999</v>
      </c>
      <c r="K34" s="44">
        <f t="shared" si="9"/>
        <v>1.1610886684799997</v>
      </c>
    </row>
    <row r="35" spans="1:11" x14ac:dyDescent="0.3">
      <c r="A35" s="23" t="s">
        <v>125</v>
      </c>
      <c r="B35" s="41">
        <f>(1+(B34*(1-SQRT(B33))))^2</f>
        <v>0.81329677550015045</v>
      </c>
      <c r="C35" s="41">
        <f t="shared" ref="C35:K35" si="10">(1+(C34*(1-SQRT(C33))))^2</f>
        <v>0.88187767127608374</v>
      </c>
      <c r="D35" s="41">
        <f t="shared" si="10"/>
        <v>1.6399078352633465</v>
      </c>
      <c r="E35" s="41">
        <f t="shared" si="10"/>
        <v>0.58280563260384421</v>
      </c>
      <c r="F35" s="41">
        <f t="shared" si="10"/>
        <v>1.0142870772706374</v>
      </c>
      <c r="G35" s="41">
        <f t="shared" si="10"/>
        <v>0.72341279072075326</v>
      </c>
      <c r="H35" s="41">
        <f t="shared" si="10"/>
        <v>0.58619771458447978</v>
      </c>
      <c r="I35" s="41">
        <f t="shared" si="10"/>
        <v>0.70767499624138253</v>
      </c>
      <c r="J35" s="41">
        <f t="shared" si="10"/>
        <v>1.2259142118113855</v>
      </c>
      <c r="K35" s="41">
        <f t="shared" si="10"/>
        <v>1.6271008222492085</v>
      </c>
    </row>
    <row r="36" spans="1:11" ht="15.6" x14ac:dyDescent="0.35">
      <c r="A36" s="9" t="s">
        <v>128</v>
      </c>
      <c r="B36" s="41">
        <f>B31*B35</f>
        <v>202846.66298224498</v>
      </c>
      <c r="C36" s="41">
        <f t="shared" ref="C36:K36" si="11">C31*C35</f>
        <v>23832.257189978096</v>
      </c>
      <c r="D36" s="41">
        <f t="shared" si="11"/>
        <v>981869.730766483</v>
      </c>
      <c r="E36" s="41">
        <f t="shared" si="11"/>
        <v>92990.396452749541</v>
      </c>
      <c r="F36" s="41">
        <f t="shared" si="11"/>
        <v>401895.93205509329</v>
      </c>
      <c r="G36" s="41">
        <f t="shared" si="11"/>
        <v>106305.12965602062</v>
      </c>
      <c r="H36" s="41">
        <f t="shared" si="11"/>
        <v>86810.207746625223</v>
      </c>
      <c r="I36" s="41">
        <f t="shared" si="11"/>
        <v>106016.19224477078</v>
      </c>
      <c r="J36" s="41">
        <f t="shared" si="11"/>
        <v>568432.95958718611</v>
      </c>
      <c r="K36" s="41">
        <f t="shared" si="11"/>
        <v>1669204.3514522403</v>
      </c>
    </row>
    <row r="40" spans="1:11" x14ac:dyDescent="0.3">
      <c r="A40" s="77" t="s">
        <v>11</v>
      </c>
      <c r="B40" s="77"/>
      <c r="C40" s="77"/>
      <c r="D40" s="77"/>
      <c r="E40" s="77"/>
      <c r="F40" s="77"/>
      <c r="G40" s="77"/>
      <c r="H40" s="77"/>
      <c r="I40" s="77"/>
    </row>
    <row r="41" spans="1:11" x14ac:dyDescent="0.3">
      <c r="A41" s="25"/>
      <c r="B41" s="24" t="s">
        <v>3</v>
      </c>
      <c r="C41" s="24" t="s">
        <v>4</v>
      </c>
      <c r="D41" s="24" t="s">
        <v>5</v>
      </c>
      <c r="E41" s="24" t="s">
        <v>6</v>
      </c>
      <c r="F41" s="24" t="s">
        <v>7</v>
      </c>
      <c r="G41" s="24" t="s">
        <v>8</v>
      </c>
      <c r="H41" s="24" t="s">
        <v>9</v>
      </c>
      <c r="I41" s="24" t="s">
        <v>10</v>
      </c>
      <c r="J41" s="24" t="s">
        <v>19</v>
      </c>
      <c r="K41" s="24" t="s">
        <v>20</v>
      </c>
    </row>
    <row r="42" spans="1:11" x14ac:dyDescent="0.3">
      <c r="A42" s="23" t="s">
        <v>3</v>
      </c>
      <c r="B42" s="53">
        <v>0</v>
      </c>
      <c r="C42" s="53">
        <v>0.202000007033348</v>
      </c>
      <c r="D42" s="53">
        <v>0.5</v>
      </c>
      <c r="E42" s="5">
        <v>2.09970008581877E-2</v>
      </c>
      <c r="F42" s="53">
        <v>0.10000000149011599</v>
      </c>
      <c r="G42" s="5">
        <v>2.3000000044703501E-2</v>
      </c>
      <c r="H42" s="5">
        <v>3.5999000072479199E-2</v>
      </c>
      <c r="I42" s="53">
        <v>0</v>
      </c>
      <c r="J42" s="53">
        <v>0</v>
      </c>
      <c r="K42" s="5">
        <v>-3.5000000149011598E-2</v>
      </c>
    </row>
    <row r="43" spans="1:11" x14ac:dyDescent="0.3">
      <c r="A43" s="23" t="s">
        <v>4</v>
      </c>
      <c r="B43" s="53">
        <v>0.202000007033348</v>
      </c>
      <c r="C43" s="53">
        <v>0</v>
      </c>
      <c r="D43" s="53">
        <v>-0.29980000853538502</v>
      </c>
      <c r="E43" s="5">
        <v>2.5296000763773901E-2</v>
      </c>
      <c r="F43" s="53">
        <v>0.120200000703335</v>
      </c>
      <c r="G43" s="53">
        <v>0</v>
      </c>
      <c r="H43" s="5">
        <v>-3.5999000072479199E-2</v>
      </c>
      <c r="I43" s="53">
        <v>0</v>
      </c>
      <c r="J43" s="53">
        <v>0</v>
      </c>
      <c r="K43" s="53">
        <v>0</v>
      </c>
    </row>
    <row r="44" spans="1:11" x14ac:dyDescent="0.3">
      <c r="A44" s="23" t="s">
        <v>5</v>
      </c>
      <c r="B44" s="53">
        <v>0.5</v>
      </c>
      <c r="C44" s="53">
        <v>-0.29980000853538502</v>
      </c>
      <c r="D44" s="53">
        <v>0</v>
      </c>
      <c r="E44" s="53">
        <v>-0.38960000872612</v>
      </c>
      <c r="F44" s="5">
        <v>4.4500000774860403E-2</v>
      </c>
      <c r="G44" s="53">
        <v>0.5</v>
      </c>
      <c r="H44" s="53">
        <v>-0.31560000777244601</v>
      </c>
      <c r="I44" s="53">
        <v>0</v>
      </c>
      <c r="J44" s="53">
        <v>-0.25330001115799</v>
      </c>
      <c r="K44" s="53">
        <v>-0.18000000715255701</v>
      </c>
    </row>
    <row r="45" spans="1:11" x14ac:dyDescent="0.3">
      <c r="A45" s="23" t="s">
        <v>6</v>
      </c>
      <c r="B45" s="5">
        <v>2.09970008581877E-2</v>
      </c>
      <c r="C45" s="5">
        <v>2.5296000763773901E-2</v>
      </c>
      <c r="D45" s="53">
        <v>-0.38960000872612</v>
      </c>
      <c r="E45" s="53">
        <v>0</v>
      </c>
      <c r="F45" s="5">
        <v>-3.1399000436067602E-2</v>
      </c>
      <c r="G45" s="53">
        <v>0</v>
      </c>
      <c r="H45" s="5">
        <v>1.15000000223517E-2</v>
      </c>
      <c r="I45" s="53">
        <v>0</v>
      </c>
      <c r="J45" s="53">
        <v>0</v>
      </c>
      <c r="K45" s="53">
        <v>0</v>
      </c>
    </row>
    <row r="46" spans="1:11" x14ac:dyDescent="0.3">
      <c r="A46" s="23" t="s">
        <v>7</v>
      </c>
      <c r="B46" s="53">
        <v>0.10000000149011599</v>
      </c>
      <c r="C46" s="53">
        <v>0.120200000703335</v>
      </c>
      <c r="D46" s="5">
        <v>4.4500000774860403E-2</v>
      </c>
      <c r="E46" s="5">
        <v>-3.1399000436067602E-2</v>
      </c>
      <c r="F46" s="53">
        <v>0</v>
      </c>
      <c r="G46" s="53">
        <v>0</v>
      </c>
      <c r="H46" s="5">
        <v>-1.9997000694274899E-2</v>
      </c>
      <c r="I46" s="5">
        <v>9.7497001290321406E-2</v>
      </c>
      <c r="J46" s="53">
        <v>0</v>
      </c>
      <c r="K46" s="5">
        <v>3.9999000728130299E-2</v>
      </c>
    </row>
    <row r="47" spans="1:11" x14ac:dyDescent="0.3">
      <c r="A47" s="23" t="s">
        <v>8</v>
      </c>
      <c r="B47" s="5">
        <v>2.3000000044703501E-2</v>
      </c>
      <c r="C47" s="53">
        <v>0</v>
      </c>
      <c r="D47" s="53">
        <v>0.5</v>
      </c>
      <c r="E47" s="53">
        <v>0</v>
      </c>
      <c r="F47" s="53">
        <v>0</v>
      </c>
      <c r="G47" s="53">
        <v>0</v>
      </c>
      <c r="H47" s="53">
        <v>0</v>
      </c>
      <c r="I47" s="5">
        <v>1.0400000028312199E-2</v>
      </c>
      <c r="J47" s="53">
        <v>-0.18000000715255701</v>
      </c>
      <c r="K47" s="53">
        <v>0</v>
      </c>
    </row>
    <row r="48" spans="1:11" x14ac:dyDescent="0.3">
      <c r="A48" s="23" t="s">
        <v>9</v>
      </c>
      <c r="B48" s="5">
        <v>3.5999000072479199E-2</v>
      </c>
      <c r="C48" s="5">
        <v>-3.5999000072479199E-2</v>
      </c>
      <c r="D48" s="53">
        <v>-0.31560000777244601</v>
      </c>
      <c r="E48" s="5">
        <v>1.15000000223517E-2</v>
      </c>
      <c r="F48" s="5">
        <v>-1.9997000694274899E-2</v>
      </c>
      <c r="G48" s="53">
        <v>0</v>
      </c>
      <c r="H48" s="53">
        <v>0</v>
      </c>
      <c r="I48" s="5">
        <v>-1.2000000104308101E-2</v>
      </c>
      <c r="J48" s="53">
        <v>0.222000002861023</v>
      </c>
      <c r="K48" s="53">
        <v>-0.21410000324249301</v>
      </c>
    </row>
    <row r="49" spans="1:11" x14ac:dyDescent="0.3">
      <c r="A49" s="23" t="s">
        <v>10</v>
      </c>
      <c r="B49" s="53">
        <v>0</v>
      </c>
      <c r="C49" s="53">
        <v>0</v>
      </c>
      <c r="D49" s="53">
        <v>0</v>
      </c>
      <c r="E49" s="53">
        <v>0</v>
      </c>
      <c r="F49" s="5">
        <v>9.7497001290321406E-2</v>
      </c>
      <c r="G49" s="5">
        <v>1.0400000028312199E-2</v>
      </c>
      <c r="H49" s="5">
        <v>-1.2000000104308101E-2</v>
      </c>
      <c r="I49" s="53">
        <v>0</v>
      </c>
      <c r="J49" s="53">
        <v>0</v>
      </c>
      <c r="K49" s="53">
        <v>0</v>
      </c>
    </row>
    <row r="50" spans="1:11" x14ac:dyDescent="0.3">
      <c r="A50" s="23" t="s">
        <v>19</v>
      </c>
      <c r="B50" s="53">
        <v>0</v>
      </c>
      <c r="C50" s="53">
        <v>0</v>
      </c>
      <c r="D50" s="53">
        <v>-0.25330001115799</v>
      </c>
      <c r="E50" s="53">
        <v>0</v>
      </c>
      <c r="F50" s="53">
        <v>0</v>
      </c>
      <c r="G50" s="53">
        <v>-0.18000000715255701</v>
      </c>
      <c r="H50" s="53">
        <v>0.222000002861023</v>
      </c>
      <c r="I50" s="53">
        <v>0</v>
      </c>
      <c r="J50" s="53">
        <v>0</v>
      </c>
      <c r="K50" s="53">
        <v>0</v>
      </c>
    </row>
    <row r="51" spans="1:11" x14ac:dyDescent="0.3">
      <c r="A51" s="23" t="s">
        <v>20</v>
      </c>
      <c r="B51" s="5">
        <v>-3.5000000149011598E-2</v>
      </c>
      <c r="C51" s="53">
        <v>0</v>
      </c>
      <c r="D51" s="53">
        <v>-0.18000000715255701</v>
      </c>
      <c r="E51" s="53">
        <v>0</v>
      </c>
      <c r="F51" s="5">
        <v>3.9999000728130299E-2</v>
      </c>
      <c r="G51" s="53">
        <v>0</v>
      </c>
      <c r="H51" s="53">
        <v>-0.21410000324249301</v>
      </c>
      <c r="I51" s="53">
        <v>0</v>
      </c>
      <c r="J51" s="53">
        <v>0</v>
      </c>
      <c r="K51" s="53">
        <v>0</v>
      </c>
    </row>
    <row r="55" spans="1:11" ht="15.6" x14ac:dyDescent="0.35">
      <c r="A55" s="9" t="s">
        <v>126</v>
      </c>
    </row>
    <row r="56" spans="1:11" x14ac:dyDescent="0.3">
      <c r="A56" s="7" t="s">
        <v>127</v>
      </c>
      <c r="B56" s="24">
        <v>1</v>
      </c>
      <c r="C56" s="24">
        <v>2</v>
      </c>
      <c r="D56" s="24">
        <v>3</v>
      </c>
      <c r="E56" s="24">
        <v>4</v>
      </c>
      <c r="F56" s="24">
        <v>5</v>
      </c>
      <c r="G56" s="24">
        <v>6</v>
      </c>
      <c r="H56" s="24">
        <v>7</v>
      </c>
      <c r="I56" s="24">
        <v>8</v>
      </c>
      <c r="J56" s="24">
        <v>9</v>
      </c>
      <c r="K56" s="24">
        <v>10</v>
      </c>
    </row>
    <row r="57" spans="1:11" x14ac:dyDescent="0.3">
      <c r="A57" s="23">
        <v>1</v>
      </c>
      <c r="B57" s="41">
        <f>B42</f>
        <v>0</v>
      </c>
      <c r="C57" s="53">
        <f t="shared" ref="C57:E57" si="12">C42</f>
        <v>0.202000007033348</v>
      </c>
      <c r="D57" s="53">
        <f t="shared" si="12"/>
        <v>0.5</v>
      </c>
      <c r="E57" s="53">
        <f t="shared" si="12"/>
        <v>2.09970008581877E-2</v>
      </c>
      <c r="F57" s="53">
        <f t="shared" ref="F57:K57" si="13">F42</f>
        <v>0.10000000149011599</v>
      </c>
      <c r="G57" s="53">
        <f t="shared" si="13"/>
        <v>2.3000000044703501E-2</v>
      </c>
      <c r="H57" s="53">
        <f t="shared" si="13"/>
        <v>3.5999000072479199E-2</v>
      </c>
      <c r="I57" s="53">
        <f t="shared" si="13"/>
        <v>0</v>
      </c>
      <c r="J57" s="53">
        <f t="shared" si="13"/>
        <v>0</v>
      </c>
      <c r="K57" s="53">
        <f t="shared" si="13"/>
        <v>-3.5000000149011598E-2</v>
      </c>
    </row>
    <row r="58" spans="1:11" x14ac:dyDescent="0.3">
      <c r="A58" s="23">
        <v>2</v>
      </c>
      <c r="B58" s="5">
        <f>B43</f>
        <v>0.202000007033348</v>
      </c>
      <c r="C58" s="5">
        <f t="shared" ref="C58:E58" si="14">C43</f>
        <v>0</v>
      </c>
      <c r="D58" s="5">
        <f t="shared" si="14"/>
        <v>-0.29980000853538502</v>
      </c>
      <c r="E58" s="5">
        <f t="shared" si="14"/>
        <v>2.5296000763773901E-2</v>
      </c>
      <c r="F58" s="5">
        <f t="shared" ref="F58:K58" si="15">F43</f>
        <v>0.120200000703335</v>
      </c>
      <c r="G58" s="5">
        <f t="shared" si="15"/>
        <v>0</v>
      </c>
      <c r="H58" s="5">
        <f t="shared" si="15"/>
        <v>-3.5999000072479199E-2</v>
      </c>
      <c r="I58" s="5">
        <f t="shared" si="15"/>
        <v>0</v>
      </c>
      <c r="J58" s="5">
        <f t="shared" si="15"/>
        <v>0</v>
      </c>
      <c r="K58" s="5">
        <f t="shared" si="15"/>
        <v>0</v>
      </c>
    </row>
    <row r="59" spans="1:11" x14ac:dyDescent="0.3">
      <c r="A59" s="23">
        <v>3</v>
      </c>
      <c r="B59" s="53">
        <f t="shared" ref="B59:D66" si="16">B44</f>
        <v>0.5</v>
      </c>
      <c r="C59" s="53">
        <f t="shared" si="16"/>
        <v>-0.29980000853538502</v>
      </c>
      <c r="D59" s="53">
        <f t="shared" si="16"/>
        <v>0</v>
      </c>
      <c r="E59" s="53">
        <f t="shared" ref="E59:K59" si="17">E44</f>
        <v>-0.38960000872612</v>
      </c>
      <c r="F59" s="53">
        <f t="shared" si="17"/>
        <v>4.4500000774860403E-2</v>
      </c>
      <c r="G59" s="53">
        <f t="shared" si="17"/>
        <v>0.5</v>
      </c>
      <c r="H59" s="53">
        <f t="shared" si="17"/>
        <v>-0.31560000777244601</v>
      </c>
      <c r="I59" s="53">
        <f t="shared" si="17"/>
        <v>0</v>
      </c>
      <c r="J59" s="53">
        <f t="shared" si="17"/>
        <v>-0.25330001115799</v>
      </c>
      <c r="K59" s="53">
        <f t="shared" si="17"/>
        <v>-0.18000000715255701</v>
      </c>
    </row>
    <row r="60" spans="1:11" x14ac:dyDescent="0.3">
      <c r="A60" s="23">
        <v>4</v>
      </c>
      <c r="B60" s="5">
        <f t="shared" si="16"/>
        <v>2.09970008581877E-2</v>
      </c>
      <c r="C60" s="5">
        <f t="shared" si="16"/>
        <v>2.5296000763773901E-2</v>
      </c>
      <c r="D60" s="5">
        <f t="shared" si="16"/>
        <v>-0.38960000872612</v>
      </c>
      <c r="E60" s="5">
        <f t="shared" ref="E60:K60" si="18">E45</f>
        <v>0</v>
      </c>
      <c r="F60" s="5">
        <f t="shared" si="18"/>
        <v>-3.1399000436067602E-2</v>
      </c>
      <c r="G60" s="5">
        <f t="shared" si="18"/>
        <v>0</v>
      </c>
      <c r="H60" s="5">
        <f t="shared" si="18"/>
        <v>1.15000000223517E-2</v>
      </c>
      <c r="I60" s="5">
        <f t="shared" si="18"/>
        <v>0</v>
      </c>
      <c r="J60" s="5">
        <f t="shared" si="18"/>
        <v>0</v>
      </c>
      <c r="K60" s="5">
        <f t="shared" si="18"/>
        <v>0</v>
      </c>
    </row>
    <row r="61" spans="1:11" x14ac:dyDescent="0.3">
      <c r="A61" s="23">
        <v>5</v>
      </c>
      <c r="B61" s="53">
        <f t="shared" si="16"/>
        <v>0.10000000149011599</v>
      </c>
      <c r="C61" s="53">
        <f t="shared" si="16"/>
        <v>0.120200000703335</v>
      </c>
      <c r="D61" s="53">
        <f t="shared" si="16"/>
        <v>4.4500000774860403E-2</v>
      </c>
      <c r="E61" s="53">
        <f t="shared" ref="E61:K61" si="19">E46</f>
        <v>-3.1399000436067602E-2</v>
      </c>
      <c r="F61" s="53">
        <f t="shared" si="19"/>
        <v>0</v>
      </c>
      <c r="G61" s="53">
        <f t="shared" si="19"/>
        <v>0</v>
      </c>
      <c r="H61" s="53">
        <f t="shared" si="19"/>
        <v>-1.9997000694274899E-2</v>
      </c>
      <c r="I61" s="53">
        <f t="shared" si="19"/>
        <v>9.7497001290321406E-2</v>
      </c>
      <c r="J61" s="53">
        <f t="shared" si="19"/>
        <v>0</v>
      </c>
      <c r="K61" s="53">
        <f t="shared" si="19"/>
        <v>3.9999000728130299E-2</v>
      </c>
    </row>
    <row r="62" spans="1:11" x14ac:dyDescent="0.3">
      <c r="A62" s="23">
        <v>6</v>
      </c>
      <c r="B62" s="5">
        <f t="shared" si="16"/>
        <v>2.3000000044703501E-2</v>
      </c>
      <c r="C62" s="5">
        <f t="shared" si="16"/>
        <v>0</v>
      </c>
      <c r="D62" s="5">
        <f t="shared" si="16"/>
        <v>0.5</v>
      </c>
      <c r="E62" s="5">
        <f t="shared" ref="E62:K62" si="20">E47</f>
        <v>0</v>
      </c>
      <c r="F62" s="5">
        <f t="shared" si="20"/>
        <v>0</v>
      </c>
      <c r="G62" s="5">
        <f t="shared" si="20"/>
        <v>0</v>
      </c>
      <c r="H62" s="5">
        <f t="shared" si="20"/>
        <v>0</v>
      </c>
      <c r="I62" s="5">
        <f t="shared" si="20"/>
        <v>1.0400000028312199E-2</v>
      </c>
      <c r="J62" s="5">
        <f t="shared" si="20"/>
        <v>-0.18000000715255701</v>
      </c>
      <c r="K62" s="5">
        <f t="shared" si="20"/>
        <v>0</v>
      </c>
    </row>
    <row r="63" spans="1:11" x14ac:dyDescent="0.3">
      <c r="A63" s="23">
        <v>7</v>
      </c>
      <c r="B63" s="53">
        <f t="shared" si="16"/>
        <v>3.5999000072479199E-2</v>
      </c>
      <c r="C63" s="53">
        <f t="shared" si="16"/>
        <v>-3.5999000072479199E-2</v>
      </c>
      <c r="D63" s="53">
        <f t="shared" si="16"/>
        <v>-0.31560000777244601</v>
      </c>
      <c r="E63" s="53">
        <f t="shared" ref="E63:K63" si="21">E48</f>
        <v>1.15000000223517E-2</v>
      </c>
      <c r="F63" s="53">
        <f t="shared" si="21"/>
        <v>-1.9997000694274899E-2</v>
      </c>
      <c r="G63" s="53">
        <f t="shared" si="21"/>
        <v>0</v>
      </c>
      <c r="H63" s="53">
        <f t="shared" si="21"/>
        <v>0</v>
      </c>
      <c r="I63" s="53">
        <f t="shared" si="21"/>
        <v>-1.2000000104308101E-2</v>
      </c>
      <c r="J63" s="53">
        <f t="shared" si="21"/>
        <v>0.222000002861023</v>
      </c>
      <c r="K63" s="53">
        <f t="shared" si="21"/>
        <v>-0.21410000324249301</v>
      </c>
    </row>
    <row r="64" spans="1:11" x14ac:dyDescent="0.3">
      <c r="A64" s="23">
        <v>8</v>
      </c>
      <c r="B64" s="5">
        <f t="shared" si="16"/>
        <v>0</v>
      </c>
      <c r="C64" s="5">
        <f t="shared" si="16"/>
        <v>0</v>
      </c>
      <c r="D64" s="5">
        <f t="shared" si="16"/>
        <v>0</v>
      </c>
      <c r="E64" s="5">
        <f t="shared" ref="E64:K64" si="22">E49</f>
        <v>0</v>
      </c>
      <c r="F64" s="5">
        <f t="shared" si="22"/>
        <v>9.7497001290321406E-2</v>
      </c>
      <c r="G64" s="5">
        <f t="shared" si="22"/>
        <v>1.0400000028312199E-2</v>
      </c>
      <c r="H64" s="5">
        <f t="shared" si="22"/>
        <v>-1.2000000104308101E-2</v>
      </c>
      <c r="I64" s="5">
        <f t="shared" si="22"/>
        <v>0</v>
      </c>
      <c r="J64" s="5">
        <f t="shared" si="22"/>
        <v>0</v>
      </c>
      <c r="K64" s="5">
        <f t="shared" si="22"/>
        <v>0</v>
      </c>
    </row>
    <row r="65" spans="1:11" x14ac:dyDescent="0.3">
      <c r="A65" s="23">
        <v>9</v>
      </c>
      <c r="B65" s="53">
        <f t="shared" si="16"/>
        <v>0</v>
      </c>
      <c r="C65" s="53">
        <f t="shared" si="16"/>
        <v>0</v>
      </c>
      <c r="D65" s="53">
        <f t="shared" si="16"/>
        <v>-0.25330001115799</v>
      </c>
      <c r="E65" s="53">
        <f t="shared" ref="E65:K65" si="23">E50</f>
        <v>0</v>
      </c>
      <c r="F65" s="53">
        <f t="shared" si="23"/>
        <v>0</v>
      </c>
      <c r="G65" s="53">
        <f t="shared" si="23"/>
        <v>-0.18000000715255701</v>
      </c>
      <c r="H65" s="53">
        <f t="shared" si="23"/>
        <v>0.222000002861023</v>
      </c>
      <c r="I65" s="53">
        <f t="shared" si="23"/>
        <v>0</v>
      </c>
      <c r="J65" s="53">
        <f t="shared" si="23"/>
        <v>0</v>
      </c>
      <c r="K65" s="53">
        <f t="shared" si="23"/>
        <v>0</v>
      </c>
    </row>
    <row r="66" spans="1:11" x14ac:dyDescent="0.3">
      <c r="A66" s="23">
        <v>10</v>
      </c>
      <c r="B66" s="5">
        <f t="shared" si="16"/>
        <v>-3.5000000149011598E-2</v>
      </c>
      <c r="C66" s="5">
        <f t="shared" si="16"/>
        <v>0</v>
      </c>
      <c r="D66" s="5">
        <f t="shared" si="16"/>
        <v>-0.18000000715255701</v>
      </c>
      <c r="E66" s="5">
        <f t="shared" ref="E66:K66" si="24">E51</f>
        <v>0</v>
      </c>
      <c r="F66" s="5">
        <f t="shared" si="24"/>
        <v>3.9999000728130299E-2</v>
      </c>
      <c r="G66" s="5">
        <f t="shared" si="24"/>
        <v>0</v>
      </c>
      <c r="H66" s="5">
        <f t="shared" si="24"/>
        <v>-0.21410000324249301</v>
      </c>
      <c r="I66" s="5">
        <f t="shared" si="24"/>
        <v>0</v>
      </c>
      <c r="J66" s="5">
        <f t="shared" si="24"/>
        <v>0</v>
      </c>
      <c r="K66" s="5">
        <f t="shared" si="24"/>
        <v>0</v>
      </c>
    </row>
    <row r="74" spans="1:11" ht="15.6" x14ac:dyDescent="0.35">
      <c r="A74" s="26" t="s">
        <v>129</v>
      </c>
    </row>
    <row r="75" spans="1:11" ht="15.6" x14ac:dyDescent="0.35">
      <c r="A75" s="12" t="s">
        <v>130</v>
      </c>
      <c r="B75" s="28">
        <f t="shared" ref="B75:K75" si="25">B36</f>
        <v>202846.66298224498</v>
      </c>
      <c r="C75" s="28">
        <f t="shared" si="25"/>
        <v>23832.257189978096</v>
      </c>
      <c r="D75" s="28">
        <f t="shared" si="25"/>
        <v>981869.730766483</v>
      </c>
      <c r="E75" s="28">
        <f t="shared" si="25"/>
        <v>92990.396452749541</v>
      </c>
      <c r="F75" s="28">
        <f t="shared" si="25"/>
        <v>401895.93205509329</v>
      </c>
      <c r="G75" s="28">
        <f t="shared" si="25"/>
        <v>106305.12965602062</v>
      </c>
      <c r="H75" s="28">
        <f t="shared" si="25"/>
        <v>86810.207746625223</v>
      </c>
      <c r="I75" s="28">
        <f t="shared" si="25"/>
        <v>106016.19224477078</v>
      </c>
      <c r="J75" s="28">
        <f t="shared" si="25"/>
        <v>568432.95958718611</v>
      </c>
      <c r="K75" s="28">
        <f t="shared" si="25"/>
        <v>1669204.3514522403</v>
      </c>
    </row>
    <row r="76" spans="1:11" x14ac:dyDescent="0.3">
      <c r="A76" s="27">
        <f>B36</f>
        <v>202846.66298224498</v>
      </c>
      <c r="B76" s="41">
        <f>(SQRT(B$75*$A76)*(1-B57))</f>
        <v>202846.66298224498</v>
      </c>
      <c r="C76" s="5">
        <f>(SQRT(C$75*$A76)*(1-C57))</f>
        <v>55484.210381871548</v>
      </c>
      <c r="D76" s="41">
        <f t="shared" ref="D76:K77" si="26">(SQRT(D$75*$A76)*(1-D57))</f>
        <v>223141.77016487543</v>
      </c>
      <c r="E76" s="41">
        <f t="shared" si="26"/>
        <v>134458.11103029409</v>
      </c>
      <c r="F76" s="41">
        <f t="shared" si="26"/>
        <v>256970.48705052605</v>
      </c>
      <c r="G76" s="41">
        <f t="shared" si="26"/>
        <v>143468.18635337375</v>
      </c>
      <c r="H76" s="41">
        <f t="shared" si="26"/>
        <v>127922.46396201076</v>
      </c>
      <c r="I76" s="41">
        <f t="shared" si="26"/>
        <v>146645.93693292671</v>
      </c>
      <c r="J76" s="41">
        <f t="shared" si="26"/>
        <v>339565.50028143614</v>
      </c>
      <c r="K76" s="41">
        <f t="shared" si="26"/>
        <v>602253.09111804725</v>
      </c>
    </row>
    <row r="77" spans="1:11" x14ac:dyDescent="0.3">
      <c r="A77" s="27">
        <f>C36</f>
        <v>23832.257189978096</v>
      </c>
      <c r="B77" s="41">
        <f>(SQRT(B$75*$A77)*(1-B58))</f>
        <v>55484.210381871548</v>
      </c>
      <c r="C77" s="5">
        <f>(SQRT(C$75*$A77)*(1-C58))</f>
        <v>23832.257189978096</v>
      </c>
      <c r="D77" s="41">
        <f t="shared" si="26"/>
        <v>198831.89875485472</v>
      </c>
      <c r="E77" s="41">
        <f t="shared" si="26"/>
        <v>45885.385648213211</v>
      </c>
      <c r="F77" s="41">
        <f t="shared" si="26"/>
        <v>86104.004697258904</v>
      </c>
      <c r="G77" s="41">
        <f t="shared" si="26"/>
        <v>50333.797696739028</v>
      </c>
      <c r="H77" s="41">
        <f t="shared" si="26"/>
        <v>47122.391431047094</v>
      </c>
      <c r="I77" s="41">
        <f t="shared" si="26"/>
        <v>50265.347505807003</v>
      </c>
      <c r="J77" s="41">
        <f t="shared" si="26"/>
        <v>116391.75438209635</v>
      </c>
      <c r="K77" s="41">
        <f t="shared" si="26"/>
        <v>199451.51643053602</v>
      </c>
    </row>
    <row r="78" spans="1:11" x14ac:dyDescent="0.3">
      <c r="A78" s="27">
        <f>D36</f>
        <v>981869.730766483</v>
      </c>
      <c r="B78" s="41">
        <f t="shared" ref="B78:K85" si="27">(SQRT(B$75*$A78)*(1-B59))</f>
        <v>223141.77016487543</v>
      </c>
      <c r="C78" s="41">
        <f t="shared" si="27"/>
        <v>198831.89875485472</v>
      </c>
      <c r="D78" s="41">
        <f t="shared" si="27"/>
        <v>981869.730766483</v>
      </c>
      <c r="E78" s="41">
        <f t="shared" si="27"/>
        <v>419890.25327565288</v>
      </c>
      <c r="F78" s="41">
        <f t="shared" si="27"/>
        <v>600225.4861963467</v>
      </c>
      <c r="G78" s="41">
        <f t="shared" si="27"/>
        <v>161537.75799673976</v>
      </c>
      <c r="H78" s="41">
        <f t="shared" si="27"/>
        <v>384092.8308003092</v>
      </c>
      <c r="I78" s="41">
        <f t="shared" si="27"/>
        <v>322636.15751533612</v>
      </c>
      <c r="J78" s="41">
        <f t="shared" si="27"/>
        <v>936314.19012225501</v>
      </c>
      <c r="K78" s="41">
        <f t="shared" si="27"/>
        <v>1510649.4604492213</v>
      </c>
    </row>
    <row r="79" spans="1:11" x14ac:dyDescent="0.3">
      <c r="A79" s="27">
        <f>E36</f>
        <v>92990.396452749541</v>
      </c>
      <c r="B79" s="41">
        <f t="shared" si="27"/>
        <v>134458.11103029409</v>
      </c>
      <c r="C79" s="41">
        <f t="shared" si="27"/>
        <v>45885.385648213211</v>
      </c>
      <c r="D79" s="41">
        <f t="shared" si="27"/>
        <v>419890.25327565288</v>
      </c>
      <c r="E79" s="41">
        <f t="shared" si="27"/>
        <v>92990.396452749541</v>
      </c>
      <c r="F79" s="41">
        <f t="shared" si="27"/>
        <v>199389.62702709332</v>
      </c>
      <c r="G79" s="41">
        <f t="shared" si="27"/>
        <v>99425.128371424798</v>
      </c>
      <c r="H79" s="41">
        <f t="shared" si="27"/>
        <v>88813.936770906483</v>
      </c>
      <c r="I79" s="41">
        <f t="shared" si="27"/>
        <v>99289.917651552852</v>
      </c>
      <c r="J79" s="41">
        <f t="shared" si="27"/>
        <v>229910.43097002406</v>
      </c>
      <c r="K79" s="41">
        <f t="shared" si="27"/>
        <v>393979.66242205765</v>
      </c>
    </row>
    <row r="80" spans="1:11" x14ac:dyDescent="0.3">
      <c r="A80" s="27">
        <f>F36</f>
        <v>401895.93205509329</v>
      </c>
      <c r="B80" s="41">
        <f t="shared" si="27"/>
        <v>256970.48705052605</v>
      </c>
      <c r="C80" s="41">
        <f t="shared" si="27"/>
        <v>86104.004697258904</v>
      </c>
      <c r="D80" s="41">
        <f t="shared" si="27"/>
        <v>600225.4861963467</v>
      </c>
      <c r="E80" s="41">
        <f t="shared" si="27"/>
        <v>199389.62702709332</v>
      </c>
      <c r="F80" s="41">
        <f t="shared" si="27"/>
        <v>401895.93205509329</v>
      </c>
      <c r="G80" s="41">
        <f t="shared" si="27"/>
        <v>206696.87749297023</v>
      </c>
      <c r="H80" s="41">
        <f t="shared" si="27"/>
        <v>190520.23023082857</v>
      </c>
      <c r="I80" s="41">
        <f t="shared" si="27"/>
        <v>186290.86515770457</v>
      </c>
      <c r="J80" s="41">
        <f t="shared" si="27"/>
        <v>477965.36914731318</v>
      </c>
      <c r="K80" s="41">
        <f t="shared" si="27"/>
        <v>786290.89077624434</v>
      </c>
    </row>
    <row r="81" spans="1:11" x14ac:dyDescent="0.3">
      <c r="A81" s="27">
        <f>G36</f>
        <v>106305.12965602062</v>
      </c>
      <c r="B81" s="41">
        <f t="shared" si="27"/>
        <v>143468.18635337375</v>
      </c>
      <c r="C81" s="41">
        <f t="shared" si="27"/>
        <v>50333.797696739028</v>
      </c>
      <c r="D81" s="41">
        <f t="shared" si="27"/>
        <v>161537.75799673976</v>
      </c>
      <c r="E81" s="41">
        <f t="shared" si="27"/>
        <v>99425.128371424798</v>
      </c>
      <c r="F81" s="41">
        <f t="shared" si="27"/>
        <v>206696.87749297023</v>
      </c>
      <c r="G81" s="41">
        <f t="shared" si="27"/>
        <v>106305.12965602062</v>
      </c>
      <c r="H81" s="41">
        <f t="shared" si="27"/>
        <v>96064.407508562086</v>
      </c>
      <c r="I81" s="41">
        <f t="shared" si="27"/>
        <v>105056.49279568321</v>
      </c>
      <c r="J81" s="41">
        <f t="shared" si="27"/>
        <v>290067.28270797094</v>
      </c>
      <c r="K81" s="41">
        <f t="shared" si="27"/>
        <v>421242.19281017449</v>
      </c>
    </row>
    <row r="82" spans="1:11" x14ac:dyDescent="0.3">
      <c r="A82" s="27">
        <f>H36</f>
        <v>86810.207746625223</v>
      </c>
      <c r="B82" s="41">
        <f t="shared" si="27"/>
        <v>127922.46396201076</v>
      </c>
      <c r="C82" s="41">
        <f t="shared" si="27"/>
        <v>47122.391431047094</v>
      </c>
      <c r="D82" s="41">
        <f t="shared" si="27"/>
        <v>384092.8308003092</v>
      </c>
      <c r="E82" s="41">
        <f t="shared" si="27"/>
        <v>88813.936770906483</v>
      </c>
      <c r="F82" s="41">
        <f t="shared" si="27"/>
        <v>190520.23023082857</v>
      </c>
      <c r="G82" s="41">
        <f t="shared" si="27"/>
        <v>96064.407508562086</v>
      </c>
      <c r="H82" s="41">
        <f t="shared" si="27"/>
        <v>86810.207746625223</v>
      </c>
      <c r="I82" s="41">
        <f t="shared" si="27"/>
        <v>97084.972332494639</v>
      </c>
      <c r="J82" s="41">
        <f t="shared" si="27"/>
        <v>172824.22540378975</v>
      </c>
      <c r="K82" s="41">
        <f t="shared" si="27"/>
        <v>462162.4024694988</v>
      </c>
    </row>
    <row r="83" spans="1:11" x14ac:dyDescent="0.3">
      <c r="A83" s="27">
        <f>I36</f>
        <v>106016.19224477078</v>
      </c>
      <c r="B83" s="41">
        <f t="shared" si="27"/>
        <v>146645.93693292671</v>
      </c>
      <c r="C83" s="41">
        <f t="shared" si="27"/>
        <v>50265.347505807003</v>
      </c>
      <c r="D83" s="41">
        <f t="shared" si="27"/>
        <v>322636.15751533612</v>
      </c>
      <c r="E83" s="41">
        <f t="shared" si="27"/>
        <v>99289.917651552852</v>
      </c>
      <c r="F83" s="41">
        <f t="shared" si="27"/>
        <v>186290.86515770457</v>
      </c>
      <c r="G83" s="41">
        <f t="shared" si="27"/>
        <v>105056.49279568321</v>
      </c>
      <c r="H83" s="41">
        <f t="shared" si="27"/>
        <v>97084.972332494639</v>
      </c>
      <c r="I83" s="41">
        <f t="shared" si="27"/>
        <v>106016.19224477078</v>
      </c>
      <c r="J83" s="41">
        <f t="shared" si="27"/>
        <v>245485.43321724641</v>
      </c>
      <c r="K83" s="41">
        <f t="shared" si="27"/>
        <v>420669.33501191717</v>
      </c>
    </row>
    <row r="84" spans="1:11" x14ac:dyDescent="0.3">
      <c r="A84" s="27">
        <f>J36</f>
        <v>568432.95958718611</v>
      </c>
      <c r="B84" s="41">
        <f t="shared" si="27"/>
        <v>339565.50028143614</v>
      </c>
      <c r="C84" s="41">
        <f t="shared" si="27"/>
        <v>116391.75438209635</v>
      </c>
      <c r="D84" s="41">
        <f t="shared" si="27"/>
        <v>936314.19012225501</v>
      </c>
      <c r="E84" s="41">
        <f t="shared" si="27"/>
        <v>229910.43097002406</v>
      </c>
      <c r="F84" s="41">
        <f t="shared" si="27"/>
        <v>477965.36914731318</v>
      </c>
      <c r="G84" s="41">
        <f t="shared" si="27"/>
        <v>290067.28270797094</v>
      </c>
      <c r="H84" s="41">
        <f t="shared" si="27"/>
        <v>172824.22540378975</v>
      </c>
      <c r="I84" s="41">
        <f t="shared" si="27"/>
        <v>245485.43321724641</v>
      </c>
      <c r="J84" s="41">
        <f t="shared" si="27"/>
        <v>568432.95958718611</v>
      </c>
      <c r="K84" s="41">
        <f t="shared" si="27"/>
        <v>974079.4472997603</v>
      </c>
    </row>
    <row r="85" spans="1:11" x14ac:dyDescent="0.3">
      <c r="A85" s="27">
        <f>K36</f>
        <v>1669204.3514522403</v>
      </c>
      <c r="B85" s="41">
        <f t="shared" si="27"/>
        <v>602253.09111804725</v>
      </c>
      <c r="C85" s="41">
        <f t="shared" si="27"/>
        <v>199451.51643053602</v>
      </c>
      <c r="D85" s="41">
        <f t="shared" si="27"/>
        <v>1510649.4604492213</v>
      </c>
      <c r="E85" s="41">
        <f t="shared" si="27"/>
        <v>393979.66242205765</v>
      </c>
      <c r="F85" s="41">
        <f t="shared" si="27"/>
        <v>786290.89077624434</v>
      </c>
      <c r="G85" s="41">
        <f t="shared" si="27"/>
        <v>421242.19281017449</v>
      </c>
      <c r="H85" s="41">
        <f t="shared" si="27"/>
        <v>462162.4024694988</v>
      </c>
      <c r="I85" s="41">
        <f t="shared" si="27"/>
        <v>420669.33501191717</v>
      </c>
      <c r="J85" s="41">
        <f t="shared" si="27"/>
        <v>974079.4472997603</v>
      </c>
      <c r="K85" s="41">
        <f t="shared" si="27"/>
        <v>1669204.3514522403</v>
      </c>
    </row>
    <row r="89" spans="1:11" x14ac:dyDescent="0.3">
      <c r="A89" s="1"/>
      <c r="B89" s="1"/>
      <c r="C89" s="1"/>
      <c r="D89" s="1"/>
      <c r="E89" s="1"/>
      <c r="F89" s="1"/>
      <c r="G89" s="1"/>
    </row>
    <row r="90" spans="1:11" ht="15.6" x14ac:dyDescent="0.35">
      <c r="A90" s="11" t="s">
        <v>131</v>
      </c>
    </row>
    <row r="91" spans="1:11" ht="15.6" x14ac:dyDescent="0.35">
      <c r="A91" s="7" t="s">
        <v>132</v>
      </c>
      <c r="B91" s="24">
        <f t="shared" ref="B91:K91" si="28">B27</f>
        <v>7.5040000000000003E-3</v>
      </c>
      <c r="C91" s="24">
        <f t="shared" si="28"/>
        <v>0.62304000000000004</v>
      </c>
      <c r="D91" s="24">
        <f t="shared" si="28"/>
        <v>0.117713</v>
      </c>
      <c r="E91" s="24">
        <f t="shared" si="28"/>
        <v>0</v>
      </c>
      <c r="F91" s="24">
        <f t="shared" si="28"/>
        <v>0</v>
      </c>
      <c r="G91" s="24">
        <f t="shared" si="28"/>
        <v>2.993E-3</v>
      </c>
      <c r="H91" s="24">
        <f t="shared" si="28"/>
        <v>0.248751</v>
      </c>
      <c r="I91" s="24">
        <f t="shared" si="28"/>
        <v>0</v>
      </c>
      <c r="J91" s="24">
        <f t="shared" si="28"/>
        <v>0</v>
      </c>
      <c r="K91" s="24">
        <f t="shared" si="28"/>
        <v>0</v>
      </c>
    </row>
    <row r="92" spans="1:11" x14ac:dyDescent="0.3">
      <c r="A92" s="23">
        <f>B27</f>
        <v>7.5040000000000003E-3</v>
      </c>
      <c r="B92" s="41">
        <f>B$91*$A92*B76</f>
        <v>11.422298838076824</v>
      </c>
      <c r="C92" s="41">
        <f t="shared" ref="C92:K92" si="29">C$91*$A92*C76</f>
        <v>259.40489380215467</v>
      </c>
      <c r="D92" s="41">
        <f t="shared" si="29"/>
        <v>197.10522068440054</v>
      </c>
      <c r="E92" s="41">
        <f t="shared" si="29"/>
        <v>0</v>
      </c>
      <c r="F92" s="41">
        <f t="shared" si="29"/>
        <v>0</v>
      </c>
      <c r="G92" s="41">
        <f t="shared" si="29"/>
        <v>3.22221971429438</v>
      </c>
      <c r="H92" s="41">
        <f t="shared" si="29"/>
        <v>238.78358961093809</v>
      </c>
      <c r="I92" s="41">
        <f t="shared" si="29"/>
        <v>0</v>
      </c>
      <c r="J92" s="41">
        <f t="shared" si="29"/>
        <v>0</v>
      </c>
      <c r="K92" s="41">
        <f t="shared" si="29"/>
        <v>0</v>
      </c>
    </row>
    <row r="93" spans="1:11" x14ac:dyDescent="0.3">
      <c r="A93" s="23">
        <f>C27</f>
        <v>0.62304000000000004</v>
      </c>
      <c r="B93" s="41">
        <f t="shared" ref="B93:K101" si="30">B$91*$A93*B77</f>
        <v>259.40489380215467</v>
      </c>
      <c r="C93" s="41">
        <f t="shared" si="30"/>
        <v>9251.1779887189696</v>
      </c>
      <c r="D93" s="41">
        <f t="shared" si="30"/>
        <v>14582.313066707047</v>
      </c>
      <c r="E93" s="41">
        <f t="shared" si="30"/>
        <v>0</v>
      </c>
      <c r="F93" s="41">
        <f t="shared" si="30"/>
        <v>0</v>
      </c>
      <c r="G93" s="41">
        <f t="shared" si="30"/>
        <v>93.86038816571002</v>
      </c>
      <c r="H93" s="41">
        <f t="shared" si="30"/>
        <v>7303.1141299881538</v>
      </c>
      <c r="I93" s="41">
        <f t="shared" si="30"/>
        <v>0</v>
      </c>
      <c r="J93" s="41">
        <f t="shared" si="30"/>
        <v>0</v>
      </c>
      <c r="K93" s="41">
        <f t="shared" si="30"/>
        <v>0</v>
      </c>
    </row>
    <row r="94" spans="1:11" x14ac:dyDescent="0.3">
      <c r="A94" s="23">
        <f>D27</f>
        <v>0.117713</v>
      </c>
      <c r="B94" s="41">
        <f t="shared" si="30"/>
        <v>197.10522068440054</v>
      </c>
      <c r="C94" s="41">
        <f t="shared" si="30"/>
        <v>14582.313066707047</v>
      </c>
      <c r="D94" s="41">
        <f t="shared" si="30"/>
        <v>13605.131006216086</v>
      </c>
      <c r="E94" s="41">
        <f t="shared" si="30"/>
        <v>0</v>
      </c>
      <c r="F94" s="41">
        <f t="shared" si="30"/>
        <v>0</v>
      </c>
      <c r="G94" s="41">
        <f t="shared" si="30"/>
        <v>56.912176662461185</v>
      </c>
      <c r="H94" s="41">
        <f t="shared" si="30"/>
        <v>11246.709161478595</v>
      </c>
      <c r="I94" s="41">
        <f t="shared" si="30"/>
        <v>0</v>
      </c>
      <c r="J94" s="41">
        <f t="shared" si="30"/>
        <v>0</v>
      </c>
      <c r="K94" s="41">
        <f t="shared" si="30"/>
        <v>0</v>
      </c>
    </row>
    <row r="95" spans="1:11" x14ac:dyDescent="0.3">
      <c r="A95" s="23">
        <f>E27</f>
        <v>0</v>
      </c>
      <c r="B95" s="41">
        <f t="shared" si="30"/>
        <v>0</v>
      </c>
      <c r="C95" s="41">
        <f t="shared" si="30"/>
        <v>0</v>
      </c>
      <c r="D95" s="41">
        <f t="shared" si="30"/>
        <v>0</v>
      </c>
      <c r="E95" s="41">
        <f t="shared" si="30"/>
        <v>0</v>
      </c>
      <c r="F95" s="41">
        <f t="shared" si="30"/>
        <v>0</v>
      </c>
      <c r="G95" s="41">
        <f t="shared" si="30"/>
        <v>0</v>
      </c>
      <c r="H95" s="41">
        <f t="shared" si="30"/>
        <v>0</v>
      </c>
      <c r="I95" s="41">
        <f t="shared" si="30"/>
        <v>0</v>
      </c>
      <c r="J95" s="41">
        <f t="shared" si="30"/>
        <v>0</v>
      </c>
      <c r="K95" s="41">
        <f t="shared" si="30"/>
        <v>0</v>
      </c>
    </row>
    <row r="96" spans="1:11" x14ac:dyDescent="0.3">
      <c r="A96" s="23">
        <f>F27</f>
        <v>0</v>
      </c>
      <c r="B96" s="41">
        <f t="shared" si="30"/>
        <v>0</v>
      </c>
      <c r="C96" s="41">
        <f t="shared" si="30"/>
        <v>0</v>
      </c>
      <c r="D96" s="41">
        <f t="shared" si="30"/>
        <v>0</v>
      </c>
      <c r="E96" s="41">
        <f t="shared" si="30"/>
        <v>0</v>
      </c>
      <c r="F96" s="41">
        <f t="shared" si="30"/>
        <v>0</v>
      </c>
      <c r="G96" s="41">
        <f t="shared" si="30"/>
        <v>0</v>
      </c>
      <c r="H96" s="41">
        <f t="shared" si="30"/>
        <v>0</v>
      </c>
      <c r="I96" s="41">
        <f t="shared" si="30"/>
        <v>0</v>
      </c>
      <c r="J96" s="41">
        <f t="shared" si="30"/>
        <v>0</v>
      </c>
      <c r="K96" s="41">
        <f t="shared" si="30"/>
        <v>0</v>
      </c>
    </row>
    <row r="97" spans="1:11" x14ac:dyDescent="0.3">
      <c r="A97" s="23">
        <f>G27</f>
        <v>2.993E-3</v>
      </c>
      <c r="B97" s="41">
        <f t="shared" si="30"/>
        <v>3.22221971429438</v>
      </c>
      <c r="C97" s="41">
        <f t="shared" si="30"/>
        <v>93.86038816571002</v>
      </c>
      <c r="D97" s="41">
        <f t="shared" si="30"/>
        <v>56.912176662461185</v>
      </c>
      <c r="E97" s="41">
        <f t="shared" si="30"/>
        <v>0</v>
      </c>
      <c r="F97" s="41">
        <f t="shared" si="30"/>
        <v>0</v>
      </c>
      <c r="G97" s="41">
        <f t="shared" si="30"/>
        <v>0.95228656040998594</v>
      </c>
      <c r="H97" s="41">
        <f t="shared" si="30"/>
        <v>71.521079474461843</v>
      </c>
      <c r="I97" s="41">
        <f t="shared" si="30"/>
        <v>0</v>
      </c>
      <c r="J97" s="41">
        <f t="shared" si="30"/>
        <v>0</v>
      </c>
      <c r="K97" s="41">
        <f t="shared" si="30"/>
        <v>0</v>
      </c>
    </row>
    <row r="98" spans="1:11" x14ac:dyDescent="0.3">
      <c r="A98" s="23">
        <f>H27</f>
        <v>0.248751</v>
      </c>
      <c r="B98" s="41">
        <f t="shared" si="30"/>
        <v>238.78358961093809</v>
      </c>
      <c r="C98" s="41">
        <f t="shared" si="30"/>
        <v>7303.1141299881538</v>
      </c>
      <c r="D98" s="41">
        <f t="shared" si="30"/>
        <v>11246.709161478595</v>
      </c>
      <c r="E98" s="41">
        <f t="shared" si="30"/>
        <v>0</v>
      </c>
      <c r="F98" s="41">
        <f t="shared" si="30"/>
        <v>0</v>
      </c>
      <c r="G98" s="41">
        <f t="shared" si="30"/>
        <v>71.521079474461843</v>
      </c>
      <c r="H98" s="41">
        <f t="shared" si="30"/>
        <v>5371.5604334372047</v>
      </c>
      <c r="I98" s="41">
        <f t="shared" si="30"/>
        <v>0</v>
      </c>
      <c r="J98" s="41">
        <f t="shared" si="30"/>
        <v>0</v>
      </c>
      <c r="K98" s="41">
        <f t="shared" si="30"/>
        <v>0</v>
      </c>
    </row>
    <row r="99" spans="1:11" x14ac:dyDescent="0.3">
      <c r="A99" s="23">
        <f>I27</f>
        <v>0</v>
      </c>
      <c r="B99" s="41">
        <f t="shared" si="30"/>
        <v>0</v>
      </c>
      <c r="C99" s="41">
        <f t="shared" si="30"/>
        <v>0</v>
      </c>
      <c r="D99" s="41">
        <f t="shared" si="30"/>
        <v>0</v>
      </c>
      <c r="E99" s="41">
        <f t="shared" si="30"/>
        <v>0</v>
      </c>
      <c r="F99" s="41">
        <f t="shared" si="30"/>
        <v>0</v>
      </c>
      <c r="G99" s="41">
        <f t="shared" si="30"/>
        <v>0</v>
      </c>
      <c r="H99" s="41">
        <f t="shared" si="30"/>
        <v>0</v>
      </c>
      <c r="I99" s="41">
        <f t="shared" si="30"/>
        <v>0</v>
      </c>
      <c r="J99" s="41">
        <f t="shared" si="30"/>
        <v>0</v>
      </c>
      <c r="K99" s="41">
        <f t="shared" si="30"/>
        <v>0</v>
      </c>
    </row>
    <row r="100" spans="1:11" x14ac:dyDescent="0.3">
      <c r="A100" s="23">
        <f>J27</f>
        <v>0</v>
      </c>
      <c r="B100" s="41">
        <f t="shared" si="30"/>
        <v>0</v>
      </c>
      <c r="C100" s="41">
        <f t="shared" si="30"/>
        <v>0</v>
      </c>
      <c r="D100" s="41">
        <f t="shared" si="30"/>
        <v>0</v>
      </c>
      <c r="E100" s="41">
        <f t="shared" si="30"/>
        <v>0</v>
      </c>
      <c r="F100" s="41">
        <f t="shared" si="30"/>
        <v>0</v>
      </c>
      <c r="G100" s="41">
        <f t="shared" si="30"/>
        <v>0</v>
      </c>
      <c r="H100" s="41">
        <f t="shared" si="30"/>
        <v>0</v>
      </c>
      <c r="I100" s="41">
        <f t="shared" si="30"/>
        <v>0</v>
      </c>
      <c r="J100" s="41">
        <f t="shared" si="30"/>
        <v>0</v>
      </c>
      <c r="K100" s="41">
        <f t="shared" si="30"/>
        <v>0</v>
      </c>
    </row>
    <row r="101" spans="1:11" x14ac:dyDescent="0.3">
      <c r="A101" s="23">
        <f>K27</f>
        <v>0</v>
      </c>
      <c r="B101" s="41">
        <f t="shared" si="30"/>
        <v>0</v>
      </c>
      <c r="C101" s="41">
        <f t="shared" si="30"/>
        <v>0</v>
      </c>
      <c r="D101" s="41">
        <f t="shared" si="30"/>
        <v>0</v>
      </c>
      <c r="E101" s="41">
        <f t="shared" si="30"/>
        <v>0</v>
      </c>
      <c r="F101" s="41">
        <f t="shared" si="30"/>
        <v>0</v>
      </c>
      <c r="G101" s="41">
        <f t="shared" si="30"/>
        <v>0</v>
      </c>
      <c r="H101" s="41">
        <f t="shared" si="30"/>
        <v>0</v>
      </c>
      <c r="I101" s="41">
        <f t="shared" si="30"/>
        <v>0</v>
      </c>
      <c r="J101" s="41">
        <f t="shared" si="30"/>
        <v>0</v>
      </c>
      <c r="K101" s="41">
        <f t="shared" si="30"/>
        <v>0</v>
      </c>
    </row>
    <row r="105" spans="1:11" x14ac:dyDescent="0.3">
      <c r="A105" s="41" t="str">
        <f t="shared" ref="A105:K105" si="31">A27</f>
        <v>Mole Fraction, xi</v>
      </c>
      <c r="B105" s="41">
        <f t="shared" si="31"/>
        <v>7.5040000000000003E-3</v>
      </c>
      <c r="C105" s="41">
        <f t="shared" si="31"/>
        <v>0.62304000000000004</v>
      </c>
      <c r="D105" s="41">
        <f t="shared" si="31"/>
        <v>0.117713</v>
      </c>
      <c r="E105" s="41">
        <f t="shared" si="31"/>
        <v>0</v>
      </c>
      <c r="F105" s="41">
        <f t="shared" si="31"/>
        <v>0</v>
      </c>
      <c r="G105" s="41">
        <f t="shared" si="31"/>
        <v>2.993E-3</v>
      </c>
      <c r="H105" s="41">
        <f t="shared" si="31"/>
        <v>0.248751</v>
      </c>
      <c r="I105" s="41">
        <f t="shared" si="31"/>
        <v>0</v>
      </c>
      <c r="J105" s="41">
        <f t="shared" si="31"/>
        <v>0</v>
      </c>
      <c r="K105" s="41">
        <f t="shared" si="31"/>
        <v>0</v>
      </c>
    </row>
    <row r="106" spans="1:11" x14ac:dyDescent="0.3">
      <c r="A106" s="41" t="str">
        <f t="shared" ref="A106:K106" si="32">A32</f>
        <v>bi</v>
      </c>
      <c r="B106" s="41">
        <f t="shared" si="32"/>
        <v>26.778080734641481</v>
      </c>
      <c r="C106" s="41">
        <f t="shared" si="32"/>
        <v>16.607188787775794</v>
      </c>
      <c r="D106" s="41">
        <f t="shared" si="32"/>
        <v>18.928332210762033</v>
      </c>
      <c r="E106" s="41">
        <f t="shared" si="32"/>
        <v>24.568175383394298</v>
      </c>
      <c r="F106" s="41">
        <f t="shared" si="32"/>
        <v>26.654898562309636</v>
      </c>
      <c r="G106" s="41">
        <f t="shared" si="32"/>
        <v>19.927936205706025</v>
      </c>
      <c r="H106" s="41">
        <f t="shared" si="32"/>
        <v>24.032287665936447</v>
      </c>
      <c r="I106" s="41">
        <f t="shared" si="32"/>
        <v>19.829528448182916</v>
      </c>
      <c r="J106" s="41">
        <f t="shared" si="32"/>
        <v>23.336478627409665</v>
      </c>
      <c r="K106" s="41">
        <f t="shared" si="32"/>
        <v>40.954343410159886</v>
      </c>
    </row>
    <row r="107" spans="1:11" x14ac:dyDescent="0.3">
      <c r="A107" s="41" t="s">
        <v>136</v>
      </c>
      <c r="B107" s="41">
        <f>B105*B106</f>
        <v>0.20094271783274967</v>
      </c>
      <c r="C107" s="41">
        <f t="shared" ref="C107:K107" si="33">C105*C106</f>
        <v>10.346942902335831</v>
      </c>
      <c r="D107" s="41">
        <f t="shared" si="33"/>
        <v>2.228110769525431</v>
      </c>
      <c r="E107" s="41">
        <f t="shared" si="33"/>
        <v>0</v>
      </c>
      <c r="F107" s="41">
        <f t="shared" si="33"/>
        <v>0</v>
      </c>
      <c r="G107" s="41">
        <f t="shared" si="33"/>
        <v>5.9644313063678137E-2</v>
      </c>
      <c r="H107" s="41">
        <f t="shared" si="33"/>
        <v>5.9780555891893572</v>
      </c>
      <c r="I107" s="41">
        <f t="shared" si="33"/>
        <v>0</v>
      </c>
      <c r="J107" s="41">
        <f t="shared" si="33"/>
        <v>0</v>
      </c>
      <c r="K107" s="41">
        <f t="shared" si="33"/>
        <v>0</v>
      </c>
    </row>
    <row r="112" spans="1:11" ht="15.6" x14ac:dyDescent="0.35">
      <c r="A112" s="11" t="s">
        <v>187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</row>
    <row r="113" spans="1:12" ht="15.6" x14ac:dyDescent="0.35">
      <c r="A113" s="59" t="s">
        <v>188</v>
      </c>
      <c r="B113" s="24" t="s">
        <v>190</v>
      </c>
      <c r="C113" s="24" t="s">
        <v>191</v>
      </c>
      <c r="D113" s="24" t="s">
        <v>192</v>
      </c>
      <c r="E113" s="24"/>
      <c r="F113" s="24"/>
      <c r="G113" s="24"/>
      <c r="H113" s="24"/>
      <c r="I113" s="24"/>
      <c r="J113" s="24"/>
      <c r="K113" s="24"/>
    </row>
    <row r="114" spans="1:12" x14ac:dyDescent="0.3">
      <c r="A114" s="60">
        <f>B27</f>
        <v>7.5040000000000003E-3</v>
      </c>
      <c r="B114" s="5">
        <f>B76*$A114</f>
        <v>1522.1613590187665</v>
      </c>
      <c r="C114" s="5">
        <f t="shared" ref="C114:K114" si="34">C76*$A114</f>
        <v>416.35351470556412</v>
      </c>
      <c r="D114" s="5">
        <f t="shared" si="34"/>
        <v>1674.4558433172253</v>
      </c>
      <c r="E114" s="5">
        <f t="shared" si="34"/>
        <v>1008.973665171327</v>
      </c>
      <c r="F114" s="5">
        <f t="shared" si="34"/>
        <v>1928.3065348271475</v>
      </c>
      <c r="G114" s="5">
        <f t="shared" si="34"/>
        <v>1076.5852703957166</v>
      </c>
      <c r="H114" s="5">
        <f t="shared" si="34"/>
        <v>959.9301695709288</v>
      </c>
      <c r="I114" s="5">
        <f t="shared" si="34"/>
        <v>1100.431110744682</v>
      </c>
      <c r="J114" s="5">
        <f t="shared" si="34"/>
        <v>2548.099514111897</v>
      </c>
      <c r="K114" s="5">
        <f t="shared" si="34"/>
        <v>4519.3071957498269</v>
      </c>
    </row>
    <row r="115" spans="1:12" x14ac:dyDescent="0.3">
      <c r="A115" s="23">
        <f>C27</f>
        <v>0.62304000000000004</v>
      </c>
      <c r="B115" s="5">
        <f t="shared" ref="B115:K123" si="35">B77*$A115</f>
        <v>34568.882436321248</v>
      </c>
      <c r="C115" s="5">
        <f t="shared" si="35"/>
        <v>14848.449519643953</v>
      </c>
      <c r="D115" s="5">
        <f t="shared" si="35"/>
        <v>123880.22620022469</v>
      </c>
      <c r="E115" s="5">
        <f t="shared" si="35"/>
        <v>28588.43067426276</v>
      </c>
      <c r="F115" s="5">
        <f t="shared" si="35"/>
        <v>53646.239086580194</v>
      </c>
      <c r="G115" s="5">
        <f t="shared" si="35"/>
        <v>31359.969316976287</v>
      </c>
      <c r="H115" s="5">
        <f t="shared" si="35"/>
        <v>29359.134757199583</v>
      </c>
      <c r="I115" s="5">
        <f t="shared" si="35"/>
        <v>31317.322110017998</v>
      </c>
      <c r="J115" s="5">
        <f t="shared" si="35"/>
        <v>72516.718650221315</v>
      </c>
      <c r="K115" s="5">
        <f t="shared" si="35"/>
        <v>124266.27279688117</v>
      </c>
    </row>
    <row r="116" spans="1:12" x14ac:dyDescent="0.3">
      <c r="A116" s="60">
        <f>D27</f>
        <v>0.117713</v>
      </c>
      <c r="B116" s="5">
        <f t="shared" si="35"/>
        <v>26266.687191417983</v>
      </c>
      <c r="C116" s="5">
        <f t="shared" si="35"/>
        <v>23405.099298130212</v>
      </c>
      <c r="D116" s="5">
        <f t="shared" si="35"/>
        <v>115578.83161771501</v>
      </c>
      <c r="E116" s="5">
        <f t="shared" si="35"/>
        <v>49426.541383836928</v>
      </c>
      <c r="F116" s="5">
        <f t="shared" si="35"/>
        <v>70654.342656630557</v>
      </c>
      <c r="G116" s="5">
        <f t="shared" si="35"/>
        <v>19015.094107070228</v>
      </c>
      <c r="H116" s="5">
        <f t="shared" si="35"/>
        <v>45212.719391996798</v>
      </c>
      <c r="I116" s="5">
        <f t="shared" si="35"/>
        <v>37978.470009602759</v>
      </c>
      <c r="J116" s="5">
        <f t="shared" si="35"/>
        <v>110216.352261861</v>
      </c>
      <c r="K116" s="5">
        <f t="shared" si="35"/>
        <v>177823.07993785918</v>
      </c>
    </row>
    <row r="117" spans="1:12" x14ac:dyDescent="0.3">
      <c r="A117" s="60">
        <f>E27</f>
        <v>0</v>
      </c>
      <c r="B117" s="5">
        <f t="shared" si="35"/>
        <v>0</v>
      </c>
      <c r="C117" s="5">
        <f t="shared" si="35"/>
        <v>0</v>
      </c>
      <c r="D117" s="5">
        <f t="shared" si="35"/>
        <v>0</v>
      </c>
      <c r="E117" s="5">
        <f t="shared" si="35"/>
        <v>0</v>
      </c>
      <c r="F117" s="5">
        <f t="shared" si="35"/>
        <v>0</v>
      </c>
      <c r="G117" s="5">
        <f t="shared" si="35"/>
        <v>0</v>
      </c>
      <c r="H117" s="5">
        <f t="shared" si="35"/>
        <v>0</v>
      </c>
      <c r="I117" s="5">
        <f t="shared" si="35"/>
        <v>0</v>
      </c>
      <c r="J117" s="5">
        <f t="shared" si="35"/>
        <v>0</v>
      </c>
      <c r="K117" s="5">
        <f t="shared" si="35"/>
        <v>0</v>
      </c>
    </row>
    <row r="118" spans="1:12" x14ac:dyDescent="0.3">
      <c r="A118" s="60">
        <f>F27</f>
        <v>0</v>
      </c>
      <c r="B118" s="5">
        <f t="shared" si="35"/>
        <v>0</v>
      </c>
      <c r="C118" s="5">
        <f t="shared" si="35"/>
        <v>0</v>
      </c>
      <c r="D118" s="5">
        <f t="shared" si="35"/>
        <v>0</v>
      </c>
      <c r="E118" s="5">
        <f t="shared" si="35"/>
        <v>0</v>
      </c>
      <c r="F118" s="5">
        <f t="shared" si="35"/>
        <v>0</v>
      </c>
      <c r="G118" s="5">
        <f t="shared" si="35"/>
        <v>0</v>
      </c>
      <c r="H118" s="5">
        <f t="shared" si="35"/>
        <v>0</v>
      </c>
      <c r="I118" s="5">
        <f t="shared" si="35"/>
        <v>0</v>
      </c>
      <c r="J118" s="5">
        <f t="shared" si="35"/>
        <v>0</v>
      </c>
      <c r="K118" s="5">
        <f t="shared" si="35"/>
        <v>0</v>
      </c>
    </row>
    <row r="119" spans="1:12" x14ac:dyDescent="0.3">
      <c r="A119" s="60">
        <f>G27</f>
        <v>2.993E-3</v>
      </c>
      <c r="B119" s="5">
        <f t="shared" si="35"/>
        <v>429.40028175564765</v>
      </c>
      <c r="C119" s="5">
        <f t="shared" si="35"/>
        <v>150.64905650633992</v>
      </c>
      <c r="D119" s="5">
        <f t="shared" si="35"/>
        <v>483.48250968424213</v>
      </c>
      <c r="E119" s="5">
        <f t="shared" si="35"/>
        <v>297.57940921567445</v>
      </c>
      <c r="F119" s="5">
        <f t="shared" si="35"/>
        <v>618.64375433645989</v>
      </c>
      <c r="G119" s="5">
        <f t="shared" si="35"/>
        <v>318.17125306046972</v>
      </c>
      <c r="H119" s="5">
        <f t="shared" si="35"/>
        <v>287.52077167312632</v>
      </c>
      <c r="I119" s="5">
        <f t="shared" si="35"/>
        <v>314.43408293747984</v>
      </c>
      <c r="J119" s="5">
        <f t="shared" si="35"/>
        <v>868.17137714495698</v>
      </c>
      <c r="K119" s="5">
        <f t="shared" si="35"/>
        <v>1260.7778830808522</v>
      </c>
    </row>
    <row r="120" spans="1:12" x14ac:dyDescent="0.3">
      <c r="A120" s="60">
        <f>H27</f>
        <v>0.248751</v>
      </c>
      <c r="B120" s="5">
        <f t="shared" si="35"/>
        <v>31820.840833014139</v>
      </c>
      <c r="C120" s="5">
        <f t="shared" si="35"/>
        <v>11721.741990864395</v>
      </c>
      <c r="D120" s="5">
        <f t="shared" si="35"/>
        <v>95543.475754407715</v>
      </c>
      <c r="E120" s="5">
        <f t="shared" si="35"/>
        <v>22092.55558569976</v>
      </c>
      <c r="F120" s="5">
        <f t="shared" si="35"/>
        <v>47392.097790148837</v>
      </c>
      <c r="G120" s="5">
        <f t="shared" si="35"/>
        <v>23896.117432162326</v>
      </c>
      <c r="H120" s="5">
        <f t="shared" si="35"/>
        <v>21594.125987180771</v>
      </c>
      <c r="I120" s="5">
        <f t="shared" si="35"/>
        <v>24149.983952680373</v>
      </c>
      <c r="J120" s="5">
        <f t="shared" si="35"/>
        <v>42990.198893418106</v>
      </c>
      <c r="K120" s="5">
        <f t="shared" si="35"/>
        <v>114963.3597766903</v>
      </c>
    </row>
    <row r="121" spans="1:12" x14ac:dyDescent="0.3">
      <c r="A121" s="23">
        <f>I27</f>
        <v>0</v>
      </c>
      <c r="B121" s="5">
        <f t="shared" si="35"/>
        <v>0</v>
      </c>
      <c r="C121" s="5">
        <f t="shared" si="35"/>
        <v>0</v>
      </c>
      <c r="D121" s="5">
        <f t="shared" si="35"/>
        <v>0</v>
      </c>
      <c r="E121" s="5">
        <f t="shared" si="35"/>
        <v>0</v>
      </c>
      <c r="F121" s="5">
        <f t="shared" si="35"/>
        <v>0</v>
      </c>
      <c r="G121" s="5">
        <f t="shared" si="35"/>
        <v>0</v>
      </c>
      <c r="H121" s="5">
        <f t="shared" si="35"/>
        <v>0</v>
      </c>
      <c r="I121" s="5">
        <f t="shared" si="35"/>
        <v>0</v>
      </c>
      <c r="J121" s="5">
        <f t="shared" si="35"/>
        <v>0</v>
      </c>
      <c r="K121" s="5">
        <f t="shared" si="35"/>
        <v>0</v>
      </c>
    </row>
    <row r="122" spans="1:12" x14ac:dyDescent="0.3">
      <c r="A122" s="60">
        <f>J27</f>
        <v>0</v>
      </c>
      <c r="B122" s="5">
        <f t="shared" si="35"/>
        <v>0</v>
      </c>
      <c r="C122" s="5">
        <f t="shared" si="35"/>
        <v>0</v>
      </c>
      <c r="D122" s="5">
        <f t="shared" si="35"/>
        <v>0</v>
      </c>
      <c r="E122" s="5">
        <f t="shared" si="35"/>
        <v>0</v>
      </c>
      <c r="F122" s="5">
        <f t="shared" si="35"/>
        <v>0</v>
      </c>
      <c r="G122" s="5">
        <f t="shared" si="35"/>
        <v>0</v>
      </c>
      <c r="H122" s="5">
        <f t="shared" si="35"/>
        <v>0</v>
      </c>
      <c r="I122" s="5">
        <f t="shared" si="35"/>
        <v>0</v>
      </c>
      <c r="J122" s="5">
        <f t="shared" si="35"/>
        <v>0</v>
      </c>
      <c r="K122" s="5">
        <f t="shared" si="35"/>
        <v>0</v>
      </c>
    </row>
    <row r="123" spans="1:12" x14ac:dyDescent="0.3">
      <c r="A123" s="60">
        <f>K27</f>
        <v>0</v>
      </c>
      <c r="B123" s="5">
        <f t="shared" si="35"/>
        <v>0</v>
      </c>
      <c r="C123" s="5">
        <f t="shared" si="35"/>
        <v>0</v>
      </c>
      <c r="D123" s="5">
        <f t="shared" si="35"/>
        <v>0</v>
      </c>
      <c r="E123" s="5">
        <f t="shared" si="35"/>
        <v>0</v>
      </c>
      <c r="F123" s="5">
        <f t="shared" si="35"/>
        <v>0</v>
      </c>
      <c r="G123" s="5">
        <f t="shared" si="35"/>
        <v>0</v>
      </c>
      <c r="H123" s="5">
        <f t="shared" si="35"/>
        <v>0</v>
      </c>
      <c r="I123" s="5">
        <f t="shared" si="35"/>
        <v>0</v>
      </c>
      <c r="J123" s="5">
        <f t="shared" si="35"/>
        <v>0</v>
      </c>
      <c r="K123" s="5">
        <f t="shared" si="35"/>
        <v>0</v>
      </c>
    </row>
    <row r="124" spans="1:12" x14ac:dyDescent="0.3">
      <c r="A124" s="54" t="s">
        <v>189</v>
      </c>
      <c r="B124" s="61">
        <f t="shared" ref="B124:K124" si="36">SUM(B114:B123)</f>
        <v>94607.97210152779</v>
      </c>
      <c r="C124" s="61">
        <f t="shared" si="36"/>
        <v>50542.293379850467</v>
      </c>
      <c r="D124" s="61">
        <f t="shared" si="36"/>
        <v>337160.47192534892</v>
      </c>
      <c r="E124" s="61">
        <f t="shared" si="36"/>
        <v>101414.08071818645</v>
      </c>
      <c r="F124" s="61">
        <f t="shared" si="36"/>
        <v>174239.62982252319</v>
      </c>
      <c r="G124" s="61">
        <f t="shared" si="36"/>
        <v>75665.937379665032</v>
      </c>
      <c r="H124" s="61">
        <f t="shared" si="36"/>
        <v>97413.431077621208</v>
      </c>
      <c r="I124" s="61">
        <f t="shared" si="36"/>
        <v>94860.641265983286</v>
      </c>
      <c r="J124" s="61">
        <f t="shared" si="36"/>
        <v>229139.54069675726</v>
      </c>
      <c r="K124" s="61">
        <f t="shared" si="36"/>
        <v>422832.79759026133</v>
      </c>
      <c r="L124" s="61">
        <f>SUM(B124:K124)</f>
        <v>1677876.795957725</v>
      </c>
    </row>
    <row r="127" spans="1:12" ht="18" x14ac:dyDescent="0.3">
      <c r="A127" s="78" t="s">
        <v>184</v>
      </c>
      <c r="B127" s="78"/>
      <c r="C127" s="78"/>
      <c r="D127" s="78"/>
      <c r="F127" s="77" t="s">
        <v>144</v>
      </c>
      <c r="G127" s="77"/>
      <c r="H127" s="77"/>
      <c r="I127" s="77"/>
      <c r="J127" s="77"/>
      <c r="K127" s="77"/>
      <c r="L127" s="77"/>
    </row>
    <row r="128" spans="1:12" ht="18" x14ac:dyDescent="0.3">
      <c r="A128" s="43" t="s">
        <v>134</v>
      </c>
      <c r="B128" s="43">
        <f>SUM(B92:K101)</f>
        <v>96346.135866347162</v>
      </c>
      <c r="C128" s="17"/>
      <c r="D128" s="15"/>
    </row>
    <row r="129" spans="1:13" ht="18" x14ac:dyDescent="0.3">
      <c r="A129" s="17" t="s">
        <v>135</v>
      </c>
      <c r="B129" s="17">
        <f>SUM(B107:K107)</f>
        <v>18.813696291947046</v>
      </c>
      <c r="C129" s="43"/>
      <c r="D129" s="15"/>
      <c r="F129" s="41" t="s">
        <v>145</v>
      </c>
      <c r="G129" s="41">
        <f>((3*B138)-(B137^2))/3</f>
        <v>-0.32155705519261563</v>
      </c>
    </row>
    <row r="130" spans="1:13" x14ac:dyDescent="0.3">
      <c r="A130" s="42"/>
      <c r="B130" s="42"/>
      <c r="C130" s="42"/>
      <c r="D130" s="42"/>
      <c r="F130" s="41" t="s">
        <v>146</v>
      </c>
      <c r="G130" s="41">
        <f>((2*B137^3)-(9*B137*B138)+(27*B139))/27</f>
        <v>-7.0503300387632736E-2</v>
      </c>
    </row>
    <row r="131" spans="1:13" ht="15.6" x14ac:dyDescent="0.3">
      <c r="A131" s="14" t="s">
        <v>137</v>
      </c>
      <c r="B131" s="14">
        <f>(B128*B8)/((B4*B7)^2)</f>
        <v>3.6080312969839483E-2</v>
      </c>
      <c r="C131" s="42"/>
      <c r="D131" s="42"/>
      <c r="F131" s="41" t="s">
        <v>147</v>
      </c>
      <c r="G131" s="41">
        <f>((G130^2)/4)+((G129^3)/27)</f>
        <v>1.1247042343987294E-5</v>
      </c>
    </row>
    <row r="132" spans="1:13" ht="15.6" x14ac:dyDescent="0.3">
      <c r="A132" s="14" t="s">
        <v>138</v>
      </c>
      <c r="B132" s="14">
        <f>(B129*B8)/(B4*B7)</f>
        <v>1.7465423570590964E-2</v>
      </c>
      <c r="C132" s="42"/>
      <c r="D132" s="42"/>
    </row>
    <row r="133" spans="1:13" x14ac:dyDescent="0.3">
      <c r="F133" s="79" t="s">
        <v>150</v>
      </c>
      <c r="G133" s="79"/>
      <c r="H133" s="79"/>
      <c r="I133" s="79"/>
      <c r="J133" s="79"/>
      <c r="K133" s="79"/>
    </row>
    <row r="134" spans="1:13" x14ac:dyDescent="0.3">
      <c r="F134" s="79" t="s">
        <v>151</v>
      </c>
      <c r="G134" s="79"/>
      <c r="H134" s="79"/>
      <c r="I134" s="79"/>
      <c r="J134" s="79"/>
      <c r="K134" s="79"/>
    </row>
    <row r="135" spans="1:13" x14ac:dyDescent="0.3">
      <c r="A135" s="79" t="s">
        <v>139</v>
      </c>
      <c r="B135" s="79"/>
      <c r="C135" s="79"/>
      <c r="D135" s="79"/>
      <c r="E135" s="79"/>
    </row>
    <row r="136" spans="1:13" x14ac:dyDescent="0.3">
      <c r="A136" s="41" t="s">
        <v>142</v>
      </c>
      <c r="B136" s="41">
        <v>1</v>
      </c>
    </row>
    <row r="137" spans="1:13" x14ac:dyDescent="0.3">
      <c r="A137" s="41" t="s">
        <v>141</v>
      </c>
      <c r="B137" s="41">
        <f>-(1-B132)</f>
        <v>-0.982534576429409</v>
      </c>
    </row>
    <row r="138" spans="1:13" x14ac:dyDescent="0.3">
      <c r="A138" s="41" t="s">
        <v>140</v>
      </c>
      <c r="B138" s="41">
        <f>B131-(3*B132^2)-(2*B132)</f>
        <v>2.3434276715709329E-4</v>
      </c>
    </row>
    <row r="139" spans="1:13" x14ac:dyDescent="0.3">
      <c r="A139" s="41" t="s">
        <v>143</v>
      </c>
      <c r="B139" s="41">
        <f>-((B131*B132)-(B132^2)-(B132^3))</f>
        <v>-3.197892574481385E-4</v>
      </c>
    </row>
    <row r="143" spans="1:13" x14ac:dyDescent="0.3">
      <c r="A143" s="77" t="s">
        <v>148</v>
      </c>
      <c r="B143" s="77"/>
      <c r="C143" s="77"/>
      <c r="D143" s="77"/>
      <c r="E143" s="77"/>
      <c r="F143" s="42"/>
      <c r="G143" s="77" t="s">
        <v>149</v>
      </c>
      <c r="H143" s="77"/>
      <c r="I143" s="77"/>
      <c r="J143" s="77"/>
      <c r="K143" s="77"/>
      <c r="L143" s="77"/>
      <c r="M143" s="77"/>
    </row>
    <row r="145" spans="1:11" x14ac:dyDescent="0.3">
      <c r="A145" s="41" t="s">
        <v>152</v>
      </c>
      <c r="B145" s="41">
        <f>(-($G$130/2)-SQRT($G$131))^(1/3)</f>
        <v>0.31714249269644151</v>
      </c>
      <c r="G145" s="41" t="s">
        <v>124</v>
      </c>
      <c r="H145" s="41">
        <f>2*SQRT(-G129/3)</f>
        <v>0.65478449909632164</v>
      </c>
    </row>
    <row r="146" spans="1:11" x14ac:dyDescent="0.3">
      <c r="A146" s="41" t="s">
        <v>153</v>
      </c>
      <c r="B146" s="41">
        <f>(-($G$130/2)+SQRT($G$131))^(1/3)</f>
        <v>0.33797326921687498</v>
      </c>
      <c r="G146" s="41" t="s">
        <v>152</v>
      </c>
      <c r="H146" s="41">
        <f>(3*G130)/(G129*H145)</f>
        <v>1.0045562727448123</v>
      </c>
      <c r="J146" s="41" t="s">
        <v>157</v>
      </c>
      <c r="K146" s="41" t="e">
        <f>($H$145*COS($H$149))-(B137/3)</f>
        <v>#NUM!</v>
      </c>
    </row>
    <row r="147" spans="1:11" x14ac:dyDescent="0.3">
      <c r="J147" s="41" t="s">
        <v>158</v>
      </c>
      <c r="K147" s="41" t="e">
        <f>($H$145*COS($H$149 +((4*PI())/3)))-(B137/3)</f>
        <v>#NUM!</v>
      </c>
    </row>
    <row r="148" spans="1:11" x14ac:dyDescent="0.3">
      <c r="A148" s="41" t="s">
        <v>154</v>
      </c>
      <c r="B148" s="41">
        <f>B145+B146-(B137/3)</f>
        <v>0.98262728738978622</v>
      </c>
      <c r="G148" s="41" t="s">
        <v>155</v>
      </c>
      <c r="H148" s="41" t="e">
        <f>ACOS(H146)</f>
        <v>#NUM!</v>
      </c>
      <c r="J148" s="41" t="s">
        <v>159</v>
      </c>
      <c r="K148" s="41" t="e">
        <f>($H$145*COS($H$149 +((2*PI())/3)))-(B137/3)</f>
        <v>#NUM!</v>
      </c>
    </row>
    <row r="149" spans="1:11" x14ac:dyDescent="0.3">
      <c r="G149" s="41" t="s">
        <v>156</v>
      </c>
      <c r="H149" s="41" t="e">
        <f>H148/3</f>
        <v>#NUM!</v>
      </c>
    </row>
    <row r="154" spans="1:11" x14ac:dyDescent="0.3">
      <c r="A154" s="5"/>
    </row>
    <row r="155" spans="1:11" x14ac:dyDescent="0.3">
      <c r="A155" s="48"/>
    </row>
    <row r="156" spans="1:11" x14ac:dyDescent="0.3">
      <c r="A156" s="48"/>
      <c r="B156" s="5"/>
      <c r="C156" s="48"/>
      <c r="D156" s="48"/>
      <c r="E156" s="5"/>
      <c r="F156" s="5"/>
      <c r="G156" s="5"/>
      <c r="H156" s="5"/>
      <c r="I156" s="48"/>
      <c r="J156" s="48"/>
      <c r="K156" s="48"/>
    </row>
    <row r="157" spans="1:11" x14ac:dyDescent="0.3">
      <c r="A157" s="5"/>
    </row>
    <row r="158" spans="1:11" x14ac:dyDescent="0.3">
      <c r="A158" s="5"/>
    </row>
    <row r="159" spans="1:11" x14ac:dyDescent="0.3">
      <c r="A159" s="5"/>
    </row>
    <row r="160" spans="1:11" x14ac:dyDescent="0.3">
      <c r="A160" s="5"/>
    </row>
    <row r="161" spans="1:1" x14ac:dyDescent="0.3">
      <c r="A161" s="48"/>
    </row>
    <row r="162" spans="1:1" x14ac:dyDescent="0.3">
      <c r="A162" s="48"/>
    </row>
    <row r="163" spans="1:1" x14ac:dyDescent="0.3">
      <c r="A163" s="48"/>
    </row>
  </sheetData>
  <mergeCells count="19">
    <mergeCell ref="F134:K134"/>
    <mergeCell ref="A135:E135"/>
    <mergeCell ref="A143:E143"/>
    <mergeCell ref="G143:M143"/>
    <mergeCell ref="E12:F12"/>
    <mergeCell ref="A40:I40"/>
    <mergeCell ref="A127:D127"/>
    <mergeCell ref="F127:L127"/>
    <mergeCell ref="F133:K133"/>
    <mergeCell ref="E13:J13"/>
    <mergeCell ref="A15:B16"/>
    <mergeCell ref="C15:L15"/>
    <mergeCell ref="A20:B20"/>
    <mergeCell ref="A17:A19"/>
    <mergeCell ref="E9:F11"/>
    <mergeCell ref="A1:L2"/>
    <mergeCell ref="E6:F6"/>
    <mergeCell ref="G6:I6"/>
    <mergeCell ref="I7:J7"/>
  </mergeCells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9FEA-D742-4778-9B8A-1BA0EB05AD0D}">
  <sheetPr codeName="Sheet2"/>
  <dimension ref="B1:F100"/>
  <sheetViews>
    <sheetView topLeftCell="A70" workbookViewId="0">
      <selection activeCell="C97" sqref="C97"/>
    </sheetView>
  </sheetViews>
  <sheetFormatPr defaultRowHeight="14.4" x14ac:dyDescent="0.3"/>
  <cols>
    <col min="2" max="2" width="12.109375" customWidth="1"/>
    <col min="3" max="3" width="20.6640625" customWidth="1"/>
    <col min="258" max="258" width="12.109375" customWidth="1"/>
    <col min="259" max="259" width="20.6640625" customWidth="1"/>
    <col min="514" max="514" width="12.109375" customWidth="1"/>
    <col min="515" max="515" width="20.6640625" customWidth="1"/>
    <col min="770" max="770" width="12.109375" customWidth="1"/>
    <col min="771" max="771" width="20.6640625" customWidth="1"/>
    <col min="1026" max="1026" width="12.109375" customWidth="1"/>
    <col min="1027" max="1027" width="20.6640625" customWidth="1"/>
    <col min="1282" max="1282" width="12.109375" customWidth="1"/>
    <col min="1283" max="1283" width="20.6640625" customWidth="1"/>
    <col min="1538" max="1538" width="12.109375" customWidth="1"/>
    <col min="1539" max="1539" width="20.6640625" customWidth="1"/>
    <col min="1794" max="1794" width="12.109375" customWidth="1"/>
    <col min="1795" max="1795" width="20.6640625" customWidth="1"/>
    <col min="2050" max="2050" width="12.109375" customWidth="1"/>
    <col min="2051" max="2051" width="20.6640625" customWidth="1"/>
    <col min="2306" max="2306" width="12.109375" customWidth="1"/>
    <col min="2307" max="2307" width="20.6640625" customWidth="1"/>
    <col min="2562" max="2562" width="12.109375" customWidth="1"/>
    <col min="2563" max="2563" width="20.6640625" customWidth="1"/>
    <col min="2818" max="2818" width="12.109375" customWidth="1"/>
    <col min="2819" max="2819" width="20.6640625" customWidth="1"/>
    <col min="3074" max="3074" width="12.109375" customWidth="1"/>
    <col min="3075" max="3075" width="20.6640625" customWidth="1"/>
    <col min="3330" max="3330" width="12.109375" customWidth="1"/>
    <col min="3331" max="3331" width="20.6640625" customWidth="1"/>
    <col min="3586" max="3586" width="12.109375" customWidth="1"/>
    <col min="3587" max="3587" width="20.6640625" customWidth="1"/>
    <col min="3842" max="3842" width="12.109375" customWidth="1"/>
    <col min="3843" max="3843" width="20.6640625" customWidth="1"/>
    <col min="4098" max="4098" width="12.109375" customWidth="1"/>
    <col min="4099" max="4099" width="20.6640625" customWidth="1"/>
    <col min="4354" max="4354" width="12.109375" customWidth="1"/>
    <col min="4355" max="4355" width="20.6640625" customWidth="1"/>
    <col min="4610" max="4610" width="12.109375" customWidth="1"/>
    <col min="4611" max="4611" width="20.6640625" customWidth="1"/>
    <col min="4866" max="4866" width="12.109375" customWidth="1"/>
    <col min="4867" max="4867" width="20.6640625" customWidth="1"/>
    <col min="5122" max="5122" width="12.109375" customWidth="1"/>
    <col min="5123" max="5123" width="20.6640625" customWidth="1"/>
    <col min="5378" max="5378" width="12.109375" customWidth="1"/>
    <col min="5379" max="5379" width="20.6640625" customWidth="1"/>
    <col min="5634" max="5634" width="12.109375" customWidth="1"/>
    <col min="5635" max="5635" width="20.6640625" customWidth="1"/>
    <col min="5890" max="5890" width="12.109375" customWidth="1"/>
    <col min="5891" max="5891" width="20.6640625" customWidth="1"/>
    <col min="6146" max="6146" width="12.109375" customWidth="1"/>
    <col min="6147" max="6147" width="20.6640625" customWidth="1"/>
    <col min="6402" max="6402" width="12.109375" customWidth="1"/>
    <col min="6403" max="6403" width="20.6640625" customWidth="1"/>
    <col min="6658" max="6658" width="12.109375" customWidth="1"/>
    <col min="6659" max="6659" width="20.6640625" customWidth="1"/>
    <col min="6914" max="6914" width="12.109375" customWidth="1"/>
    <col min="6915" max="6915" width="20.6640625" customWidth="1"/>
    <col min="7170" max="7170" width="12.109375" customWidth="1"/>
    <col min="7171" max="7171" width="20.6640625" customWidth="1"/>
    <col min="7426" max="7426" width="12.109375" customWidth="1"/>
    <col min="7427" max="7427" width="20.6640625" customWidth="1"/>
    <col min="7682" max="7682" width="12.109375" customWidth="1"/>
    <col min="7683" max="7683" width="20.6640625" customWidth="1"/>
    <col min="7938" max="7938" width="12.109375" customWidth="1"/>
    <col min="7939" max="7939" width="20.6640625" customWidth="1"/>
    <col min="8194" max="8194" width="12.109375" customWidth="1"/>
    <col min="8195" max="8195" width="20.6640625" customWidth="1"/>
    <col min="8450" max="8450" width="12.109375" customWidth="1"/>
    <col min="8451" max="8451" width="20.6640625" customWidth="1"/>
    <col min="8706" max="8706" width="12.109375" customWidth="1"/>
    <col min="8707" max="8707" width="20.6640625" customWidth="1"/>
    <col min="8962" max="8962" width="12.109375" customWidth="1"/>
    <col min="8963" max="8963" width="20.6640625" customWidth="1"/>
    <col min="9218" max="9218" width="12.109375" customWidth="1"/>
    <col min="9219" max="9219" width="20.6640625" customWidth="1"/>
    <col min="9474" max="9474" width="12.109375" customWidth="1"/>
    <col min="9475" max="9475" width="20.6640625" customWidth="1"/>
    <col min="9730" max="9730" width="12.109375" customWidth="1"/>
    <col min="9731" max="9731" width="20.6640625" customWidth="1"/>
    <col min="9986" max="9986" width="12.109375" customWidth="1"/>
    <col min="9987" max="9987" width="20.6640625" customWidth="1"/>
    <col min="10242" max="10242" width="12.109375" customWidth="1"/>
    <col min="10243" max="10243" width="20.6640625" customWidth="1"/>
    <col min="10498" max="10498" width="12.109375" customWidth="1"/>
    <col min="10499" max="10499" width="20.6640625" customWidth="1"/>
    <col min="10754" max="10754" width="12.109375" customWidth="1"/>
    <col min="10755" max="10755" width="20.6640625" customWidth="1"/>
    <col min="11010" max="11010" width="12.109375" customWidth="1"/>
    <col min="11011" max="11011" width="20.6640625" customWidth="1"/>
    <col min="11266" max="11266" width="12.109375" customWidth="1"/>
    <col min="11267" max="11267" width="20.6640625" customWidth="1"/>
    <col min="11522" max="11522" width="12.109375" customWidth="1"/>
    <col min="11523" max="11523" width="20.6640625" customWidth="1"/>
    <col min="11778" max="11778" width="12.109375" customWidth="1"/>
    <col min="11779" max="11779" width="20.6640625" customWidth="1"/>
    <col min="12034" max="12034" width="12.109375" customWidth="1"/>
    <col min="12035" max="12035" width="20.6640625" customWidth="1"/>
    <col min="12290" max="12290" width="12.109375" customWidth="1"/>
    <col min="12291" max="12291" width="20.6640625" customWidth="1"/>
    <col min="12546" max="12546" width="12.109375" customWidth="1"/>
    <col min="12547" max="12547" width="20.6640625" customWidth="1"/>
    <col min="12802" max="12802" width="12.109375" customWidth="1"/>
    <col min="12803" max="12803" width="20.6640625" customWidth="1"/>
    <col min="13058" max="13058" width="12.109375" customWidth="1"/>
    <col min="13059" max="13059" width="20.6640625" customWidth="1"/>
    <col min="13314" max="13314" width="12.109375" customWidth="1"/>
    <col min="13315" max="13315" width="20.6640625" customWidth="1"/>
    <col min="13570" max="13570" width="12.109375" customWidth="1"/>
    <col min="13571" max="13571" width="20.6640625" customWidth="1"/>
    <col min="13826" max="13826" width="12.109375" customWidth="1"/>
    <col min="13827" max="13827" width="20.6640625" customWidth="1"/>
    <col min="14082" max="14082" width="12.109375" customWidth="1"/>
    <col min="14083" max="14083" width="20.6640625" customWidth="1"/>
    <col min="14338" max="14338" width="12.109375" customWidth="1"/>
    <col min="14339" max="14339" width="20.6640625" customWidth="1"/>
    <col min="14594" max="14594" width="12.109375" customWidth="1"/>
    <col min="14595" max="14595" width="20.6640625" customWidth="1"/>
    <col min="14850" max="14850" width="12.109375" customWidth="1"/>
    <col min="14851" max="14851" width="20.6640625" customWidth="1"/>
    <col min="15106" max="15106" width="12.109375" customWidth="1"/>
    <col min="15107" max="15107" width="20.6640625" customWidth="1"/>
    <col min="15362" max="15362" width="12.109375" customWidth="1"/>
    <col min="15363" max="15363" width="20.6640625" customWidth="1"/>
    <col min="15618" max="15618" width="12.109375" customWidth="1"/>
    <col min="15619" max="15619" width="20.6640625" customWidth="1"/>
    <col min="15874" max="15874" width="12.109375" customWidth="1"/>
    <col min="15875" max="15875" width="20.6640625" customWidth="1"/>
    <col min="16130" max="16130" width="12.109375" customWidth="1"/>
    <col min="16131" max="16131" width="20.6640625" customWidth="1"/>
  </cols>
  <sheetData>
    <row r="1" spans="2:6" x14ac:dyDescent="0.3">
      <c r="B1" s="93" t="s">
        <v>180</v>
      </c>
      <c r="C1" s="93"/>
      <c r="D1" s="93"/>
      <c r="E1" s="93"/>
      <c r="F1" s="93"/>
    </row>
    <row r="2" spans="2:6" x14ac:dyDescent="0.3">
      <c r="B2" s="93" t="s">
        <v>21</v>
      </c>
      <c r="C2" s="93"/>
      <c r="D2" s="93"/>
      <c r="E2" s="93"/>
      <c r="F2" s="93"/>
    </row>
    <row r="4" spans="2:6" x14ac:dyDescent="0.3">
      <c r="B4" s="13"/>
      <c r="C4" s="13" t="s">
        <v>22</v>
      </c>
      <c r="D4" s="13" t="s">
        <v>23</v>
      </c>
      <c r="E4" s="13" t="s">
        <v>24</v>
      </c>
      <c r="F4" s="13" t="s">
        <v>25</v>
      </c>
    </row>
    <row r="5" spans="2:6" x14ac:dyDescent="0.3">
      <c r="B5" s="38" t="s">
        <v>26</v>
      </c>
    </row>
    <row r="6" spans="2:6" x14ac:dyDescent="0.3">
      <c r="B6">
        <v>1</v>
      </c>
      <c r="C6" t="s">
        <v>27</v>
      </c>
      <c r="D6">
        <v>190.6</v>
      </c>
      <c r="E6">
        <v>4.6040000000000001</v>
      </c>
      <c r="F6">
        <v>1.0999999999999999E-2</v>
      </c>
    </row>
    <row r="7" spans="2:6" x14ac:dyDescent="0.3">
      <c r="B7">
        <v>2</v>
      </c>
      <c r="C7" t="s">
        <v>28</v>
      </c>
      <c r="D7">
        <v>305.39999999999998</v>
      </c>
      <c r="E7">
        <v>4.88</v>
      </c>
      <c r="F7">
        <v>9.9000000000000005E-2</v>
      </c>
    </row>
    <row r="8" spans="2:6" x14ac:dyDescent="0.3">
      <c r="B8">
        <v>3</v>
      </c>
      <c r="C8" t="s">
        <v>29</v>
      </c>
      <c r="D8">
        <v>369.8</v>
      </c>
      <c r="E8">
        <v>4.2489999999999997</v>
      </c>
      <c r="F8">
        <v>0.152</v>
      </c>
    </row>
    <row r="9" spans="2:6" x14ac:dyDescent="0.3">
      <c r="B9">
        <v>4</v>
      </c>
      <c r="C9" t="s">
        <v>30</v>
      </c>
      <c r="D9">
        <v>425.2</v>
      </c>
      <c r="E9">
        <v>3.7970000000000002</v>
      </c>
      <c r="F9">
        <v>0.193</v>
      </c>
    </row>
    <row r="10" spans="2:6" x14ac:dyDescent="0.3">
      <c r="B10">
        <v>5</v>
      </c>
      <c r="C10" t="s">
        <v>31</v>
      </c>
      <c r="D10">
        <v>408.1</v>
      </c>
      <c r="E10">
        <v>3.6480000000000001</v>
      </c>
      <c r="F10">
        <v>0.17699999999999999</v>
      </c>
    </row>
    <row r="11" spans="2:6" x14ac:dyDescent="0.3">
      <c r="B11">
        <v>7</v>
      </c>
      <c r="C11" t="s">
        <v>32</v>
      </c>
      <c r="D11">
        <v>469.7</v>
      </c>
      <c r="E11">
        <v>3.3690000000000002</v>
      </c>
      <c r="F11">
        <v>0.249</v>
      </c>
    </row>
    <row r="12" spans="2:6" x14ac:dyDescent="0.3">
      <c r="B12">
        <v>8</v>
      </c>
      <c r="C12" t="s">
        <v>33</v>
      </c>
      <c r="D12">
        <v>460.4</v>
      </c>
      <c r="E12">
        <v>3.3809999999999998</v>
      </c>
      <c r="F12">
        <v>0.22800000000000001</v>
      </c>
    </row>
    <row r="13" spans="2:6" x14ac:dyDescent="0.3">
      <c r="B13">
        <v>9</v>
      </c>
      <c r="C13" t="s">
        <v>34</v>
      </c>
      <c r="D13">
        <v>433.8</v>
      </c>
      <c r="E13">
        <v>3.1989999999999998</v>
      </c>
      <c r="F13">
        <v>0.19600000000000001</v>
      </c>
    </row>
    <row r="14" spans="2:6" x14ac:dyDescent="0.3">
      <c r="B14">
        <v>11</v>
      </c>
      <c r="C14" t="s">
        <v>35</v>
      </c>
      <c r="D14">
        <v>507.4</v>
      </c>
      <c r="E14">
        <v>3.012</v>
      </c>
      <c r="F14">
        <v>0.30499999999999999</v>
      </c>
    </row>
    <row r="15" spans="2:6" x14ac:dyDescent="0.3">
      <c r="B15">
        <v>17</v>
      </c>
      <c r="C15" t="s">
        <v>36</v>
      </c>
      <c r="D15">
        <v>540.29999999999995</v>
      </c>
      <c r="E15">
        <v>2.7360000000000002</v>
      </c>
      <c r="F15">
        <v>0.34899999999999998</v>
      </c>
    </row>
    <row r="16" spans="2:6" x14ac:dyDescent="0.3">
      <c r="B16">
        <v>27</v>
      </c>
      <c r="C16" t="s">
        <v>37</v>
      </c>
      <c r="D16">
        <v>568.79999999999995</v>
      </c>
      <c r="E16">
        <v>2.4860000000000002</v>
      </c>
      <c r="F16">
        <v>0.39600000000000002</v>
      </c>
    </row>
    <row r="17" spans="2:6" x14ac:dyDescent="0.3">
      <c r="B17">
        <v>46</v>
      </c>
      <c r="C17" t="s">
        <v>38</v>
      </c>
      <c r="D17">
        <v>595.70000000000005</v>
      </c>
      <c r="E17">
        <v>2.306</v>
      </c>
      <c r="F17">
        <v>0.437</v>
      </c>
    </row>
    <row r="18" spans="2:6" x14ac:dyDescent="0.3">
      <c r="B18">
        <v>56</v>
      </c>
      <c r="C18" t="s">
        <v>39</v>
      </c>
      <c r="D18">
        <v>618.5</v>
      </c>
      <c r="E18">
        <v>2.1230000000000002</v>
      </c>
      <c r="F18">
        <v>0.48399999999999999</v>
      </c>
    </row>
    <row r="19" spans="2:6" x14ac:dyDescent="0.3">
      <c r="B19">
        <v>64</v>
      </c>
      <c r="C19" t="s">
        <v>40</v>
      </c>
      <c r="D19">
        <v>658.2</v>
      </c>
      <c r="E19">
        <v>1.8240000000000001</v>
      </c>
      <c r="F19">
        <v>0.57499999999999996</v>
      </c>
    </row>
    <row r="20" spans="2:6" x14ac:dyDescent="0.3">
      <c r="B20">
        <v>66</v>
      </c>
      <c r="C20" t="s">
        <v>41</v>
      </c>
      <c r="D20">
        <v>696.9</v>
      </c>
      <c r="E20">
        <v>1.4379999999999999</v>
      </c>
      <c r="F20">
        <v>0.56999999999999995</v>
      </c>
    </row>
    <row r="21" spans="2:6" x14ac:dyDescent="0.3">
      <c r="B21">
        <v>68</v>
      </c>
      <c r="C21" t="s">
        <v>42</v>
      </c>
      <c r="D21">
        <v>720.6</v>
      </c>
      <c r="E21">
        <v>1.419</v>
      </c>
      <c r="F21">
        <v>0.747</v>
      </c>
    </row>
    <row r="22" spans="2:6" x14ac:dyDescent="0.3">
      <c r="B22" s="38" t="s">
        <v>43</v>
      </c>
    </row>
    <row r="23" spans="2:6" x14ac:dyDescent="0.3">
      <c r="B23">
        <v>104</v>
      </c>
      <c r="C23" t="s">
        <v>44</v>
      </c>
      <c r="D23">
        <v>511.8</v>
      </c>
      <c r="E23">
        <v>4.5019999999999998</v>
      </c>
      <c r="F23">
        <v>0.19400000000000001</v>
      </c>
    </row>
    <row r="24" spans="2:6" x14ac:dyDescent="0.3">
      <c r="B24">
        <v>105</v>
      </c>
      <c r="C24" t="s">
        <v>45</v>
      </c>
      <c r="D24">
        <v>532.79999999999995</v>
      </c>
      <c r="E24">
        <v>3.7850000000000001</v>
      </c>
      <c r="F24">
        <v>0.23</v>
      </c>
    </row>
    <row r="25" spans="2:6" x14ac:dyDescent="0.3">
      <c r="B25">
        <v>137</v>
      </c>
      <c r="C25" t="s">
        <v>46</v>
      </c>
      <c r="D25">
        <v>553.5</v>
      </c>
      <c r="E25">
        <v>4.0750000000000002</v>
      </c>
      <c r="F25">
        <v>0.215</v>
      </c>
    </row>
    <row r="26" spans="2:6" x14ac:dyDescent="0.3">
      <c r="B26">
        <v>138</v>
      </c>
      <c r="C26" t="s">
        <v>47</v>
      </c>
      <c r="D26">
        <v>572.20000000000005</v>
      </c>
      <c r="E26">
        <v>3.4710000000000001</v>
      </c>
      <c r="F26">
        <v>0.23499999999999999</v>
      </c>
    </row>
    <row r="27" spans="2:6" x14ac:dyDescent="0.3">
      <c r="B27" t="s">
        <v>48</v>
      </c>
    </row>
    <row r="28" spans="2:6" x14ac:dyDescent="0.3">
      <c r="B28">
        <v>201</v>
      </c>
      <c r="C28" t="s">
        <v>49</v>
      </c>
      <c r="D28">
        <v>282.39999999999998</v>
      </c>
      <c r="E28">
        <v>5.032</v>
      </c>
      <c r="F28">
        <v>8.5000000000000006E-2</v>
      </c>
    </row>
    <row r="29" spans="2:6" x14ac:dyDescent="0.3">
      <c r="B29">
        <v>202</v>
      </c>
      <c r="C29" t="s">
        <v>50</v>
      </c>
      <c r="D29">
        <v>364.8</v>
      </c>
      <c r="E29">
        <v>4.6130000000000004</v>
      </c>
      <c r="F29">
        <v>0.14199999999999999</v>
      </c>
    </row>
    <row r="30" spans="2:6" x14ac:dyDescent="0.3">
      <c r="B30">
        <v>204</v>
      </c>
      <c r="C30" t="s">
        <v>51</v>
      </c>
      <c r="D30">
        <v>419.6</v>
      </c>
      <c r="E30">
        <v>4.0199999999999996</v>
      </c>
      <c r="F30">
        <v>0.187</v>
      </c>
    </row>
    <row r="31" spans="2:6" x14ac:dyDescent="0.3">
      <c r="B31">
        <v>207</v>
      </c>
      <c r="C31" t="s">
        <v>52</v>
      </c>
      <c r="D31">
        <v>417.9</v>
      </c>
      <c r="E31">
        <v>3.9990000000000001</v>
      </c>
      <c r="F31">
        <v>0.189</v>
      </c>
    </row>
    <row r="32" spans="2:6" x14ac:dyDescent="0.3">
      <c r="B32">
        <v>209</v>
      </c>
      <c r="C32" t="s">
        <v>53</v>
      </c>
      <c r="D32">
        <v>464.8</v>
      </c>
      <c r="E32">
        <v>3.5289999999999999</v>
      </c>
      <c r="F32">
        <v>0.23300000000000001</v>
      </c>
    </row>
    <row r="33" spans="2:6" x14ac:dyDescent="0.3">
      <c r="B33">
        <v>401</v>
      </c>
      <c r="C33" t="s">
        <v>54</v>
      </c>
      <c r="D33">
        <v>308.3</v>
      </c>
      <c r="E33">
        <v>6.1390000000000002</v>
      </c>
      <c r="F33">
        <v>0.187</v>
      </c>
    </row>
    <row r="34" spans="2:6" x14ac:dyDescent="0.3">
      <c r="B34">
        <v>303</v>
      </c>
      <c r="C34" t="s">
        <v>55</v>
      </c>
      <c r="D34">
        <v>425.4</v>
      </c>
      <c r="E34">
        <v>4.33</v>
      </c>
      <c r="F34">
        <v>0.193</v>
      </c>
    </row>
    <row r="35" spans="2:6" x14ac:dyDescent="0.3">
      <c r="B35">
        <v>309</v>
      </c>
      <c r="C35" t="s">
        <v>56</v>
      </c>
      <c r="D35">
        <v>484</v>
      </c>
      <c r="E35">
        <v>3.85</v>
      </c>
      <c r="F35">
        <v>0.158</v>
      </c>
    </row>
    <row r="36" spans="2:6" x14ac:dyDescent="0.3">
      <c r="B36" s="38" t="s">
        <v>57</v>
      </c>
    </row>
    <row r="37" spans="2:6" x14ac:dyDescent="0.3">
      <c r="B37">
        <v>501</v>
      </c>
      <c r="C37" t="s">
        <v>58</v>
      </c>
      <c r="D37">
        <v>562.20000000000005</v>
      </c>
      <c r="E37">
        <v>4.8979999999999997</v>
      </c>
      <c r="F37">
        <v>0.21099999999999999</v>
      </c>
    </row>
    <row r="38" spans="2:6" x14ac:dyDescent="0.3">
      <c r="B38">
        <v>502</v>
      </c>
      <c r="C38" t="s">
        <v>59</v>
      </c>
      <c r="D38">
        <v>591.79999999999995</v>
      </c>
      <c r="E38">
        <v>4.109</v>
      </c>
      <c r="F38">
        <v>0.26400000000000001</v>
      </c>
    </row>
    <row r="39" spans="2:6" x14ac:dyDescent="0.3">
      <c r="B39">
        <v>504</v>
      </c>
      <c r="C39" t="s">
        <v>60</v>
      </c>
      <c r="D39">
        <v>617.20000000000005</v>
      </c>
      <c r="E39">
        <v>3.609</v>
      </c>
      <c r="F39">
        <v>0.30399999999999999</v>
      </c>
    </row>
    <row r="40" spans="2:6" x14ac:dyDescent="0.3">
      <c r="B40">
        <v>505</v>
      </c>
      <c r="C40" t="s">
        <v>61</v>
      </c>
      <c r="D40">
        <v>630.4</v>
      </c>
      <c r="E40">
        <v>3.734</v>
      </c>
      <c r="F40">
        <v>0.313</v>
      </c>
    </row>
    <row r="41" spans="2:6" x14ac:dyDescent="0.3">
      <c r="B41">
        <v>506</v>
      </c>
      <c r="C41" t="s">
        <v>62</v>
      </c>
      <c r="D41">
        <v>617.1</v>
      </c>
      <c r="E41">
        <v>3.5409999999999999</v>
      </c>
      <c r="F41">
        <v>0.32600000000000001</v>
      </c>
    </row>
    <row r="42" spans="2:6" x14ac:dyDescent="0.3">
      <c r="B42">
        <v>507</v>
      </c>
      <c r="C42" t="s">
        <v>63</v>
      </c>
      <c r="D42">
        <v>616.29999999999995</v>
      </c>
      <c r="E42">
        <v>3.5110000000000001</v>
      </c>
      <c r="F42">
        <v>0.32600000000000001</v>
      </c>
    </row>
    <row r="43" spans="2:6" x14ac:dyDescent="0.3">
      <c r="B43">
        <v>510</v>
      </c>
      <c r="C43" t="s">
        <v>64</v>
      </c>
      <c r="D43">
        <v>631.20000000000005</v>
      </c>
      <c r="E43">
        <v>3.2090000000000001</v>
      </c>
      <c r="F43">
        <v>0.33800000000000002</v>
      </c>
    </row>
    <row r="44" spans="2:6" x14ac:dyDescent="0.3">
      <c r="B44">
        <v>558</v>
      </c>
      <c r="C44" t="s">
        <v>65</v>
      </c>
      <c r="D44">
        <v>789.3</v>
      </c>
      <c r="E44">
        <v>3.847</v>
      </c>
      <c r="F44">
        <v>0.36599999999999999</v>
      </c>
    </row>
    <row r="45" spans="2:6" x14ac:dyDescent="0.3">
      <c r="B45">
        <v>563</v>
      </c>
      <c r="C45" t="s">
        <v>66</v>
      </c>
      <c r="D45">
        <v>768</v>
      </c>
      <c r="E45">
        <v>2.92</v>
      </c>
      <c r="F45">
        <v>0.46100000000000002</v>
      </c>
    </row>
    <row r="46" spans="2:6" x14ac:dyDescent="0.3">
      <c r="B46">
        <v>701</v>
      </c>
      <c r="C46" t="s">
        <v>67</v>
      </c>
      <c r="D46">
        <v>748.4</v>
      </c>
      <c r="E46">
        <v>4.0510000000000002</v>
      </c>
      <c r="F46">
        <v>0.30199999999999999</v>
      </c>
    </row>
    <row r="47" spans="2:6" x14ac:dyDescent="0.3">
      <c r="B47">
        <v>702</v>
      </c>
      <c r="C47" t="s">
        <v>68</v>
      </c>
      <c r="D47">
        <v>772</v>
      </c>
      <c r="E47">
        <v>3.65</v>
      </c>
      <c r="F47">
        <v>0.29199999999999998</v>
      </c>
    </row>
    <row r="48" spans="2:6" x14ac:dyDescent="0.3">
      <c r="B48">
        <v>706</v>
      </c>
      <c r="C48" t="s">
        <v>69</v>
      </c>
      <c r="D48">
        <v>720.2</v>
      </c>
      <c r="E48">
        <v>3.3</v>
      </c>
      <c r="F48">
        <v>0.28599999999999998</v>
      </c>
    </row>
    <row r="49" spans="2:6" x14ac:dyDescent="0.3">
      <c r="B49" s="38" t="s">
        <v>70</v>
      </c>
      <c r="C49" t="s">
        <v>71</v>
      </c>
    </row>
    <row r="50" spans="2:6" x14ac:dyDescent="0.3">
      <c r="B50">
        <v>1101</v>
      </c>
      <c r="C50" t="s">
        <v>72</v>
      </c>
      <c r="D50">
        <v>512.6</v>
      </c>
      <c r="E50">
        <v>8.0960000000000001</v>
      </c>
      <c r="F50">
        <v>0.56599999999999995</v>
      </c>
    </row>
    <row r="51" spans="2:6" x14ac:dyDescent="0.3">
      <c r="B51">
        <v>1102</v>
      </c>
      <c r="C51" t="s">
        <v>73</v>
      </c>
      <c r="D51">
        <v>516.4</v>
      </c>
      <c r="E51">
        <v>6.3840000000000003</v>
      </c>
      <c r="F51">
        <v>0.63700000000000001</v>
      </c>
    </row>
    <row r="52" spans="2:6" x14ac:dyDescent="0.3">
      <c r="B52">
        <v>1103</v>
      </c>
      <c r="C52" t="s">
        <v>74</v>
      </c>
      <c r="D52">
        <v>536.70000000000005</v>
      </c>
      <c r="E52">
        <v>5.17</v>
      </c>
      <c r="F52">
        <v>0.628</v>
      </c>
    </row>
    <row r="53" spans="2:6" x14ac:dyDescent="0.3">
      <c r="B53">
        <v>1104</v>
      </c>
      <c r="C53" t="s">
        <v>75</v>
      </c>
      <c r="D53">
        <v>508.3</v>
      </c>
      <c r="E53">
        <v>4.7640000000000002</v>
      </c>
      <c r="F53">
        <v>0.66900000000000004</v>
      </c>
    </row>
    <row r="54" spans="2:6" x14ac:dyDescent="0.3">
      <c r="B54">
        <v>1105</v>
      </c>
      <c r="C54" t="s">
        <v>76</v>
      </c>
      <c r="D54">
        <v>562.9</v>
      </c>
      <c r="E54">
        <v>4.4119999999999999</v>
      </c>
      <c r="F54">
        <v>0.59399999999999997</v>
      </c>
    </row>
    <row r="55" spans="2:6" x14ac:dyDescent="0.3">
      <c r="B55">
        <v>1107</v>
      </c>
      <c r="C55" t="s">
        <v>77</v>
      </c>
      <c r="D55">
        <v>547.70000000000005</v>
      </c>
      <c r="E55">
        <v>4.2949999999999999</v>
      </c>
      <c r="F55">
        <v>0.58899999999999997</v>
      </c>
    </row>
    <row r="56" spans="2:6" x14ac:dyDescent="0.3">
      <c r="B56">
        <v>1479</v>
      </c>
      <c r="C56" t="s">
        <v>78</v>
      </c>
      <c r="D56">
        <v>501.1</v>
      </c>
      <c r="E56">
        <v>5.19</v>
      </c>
      <c r="F56">
        <v>0.217</v>
      </c>
    </row>
    <row r="57" spans="2:6" x14ac:dyDescent="0.3">
      <c r="B57" t="s">
        <v>79</v>
      </c>
      <c r="C57" t="s">
        <v>80</v>
      </c>
      <c r="D57">
        <v>466.7</v>
      </c>
      <c r="E57">
        <v>3.59</v>
      </c>
      <c r="F57">
        <v>0.28100000000000003</v>
      </c>
    </row>
    <row r="58" spans="2:6" x14ac:dyDescent="0.3">
      <c r="B58" t="s">
        <v>81</v>
      </c>
      <c r="C58" t="s">
        <v>82</v>
      </c>
      <c r="D58">
        <v>469</v>
      </c>
      <c r="E58">
        <v>7.1</v>
      </c>
      <c r="F58">
        <v>0.2</v>
      </c>
    </row>
    <row r="59" spans="2:6" x14ac:dyDescent="0.3">
      <c r="B59" t="s">
        <v>79</v>
      </c>
      <c r="C59" t="s">
        <v>83</v>
      </c>
      <c r="D59">
        <v>535.6</v>
      </c>
      <c r="E59">
        <v>4.0999999999999996</v>
      </c>
      <c r="F59">
        <v>0.32900000000000001</v>
      </c>
    </row>
    <row r="60" spans="2:6" x14ac:dyDescent="0.3">
      <c r="B60" s="38" t="s">
        <v>84</v>
      </c>
    </row>
    <row r="61" spans="2:6" x14ac:dyDescent="0.3">
      <c r="C61" t="s">
        <v>85</v>
      </c>
      <c r="D61">
        <v>385</v>
      </c>
      <c r="E61">
        <v>4.07</v>
      </c>
      <c r="F61">
        <v>0.17599999999999999</v>
      </c>
    </row>
    <row r="62" spans="2:6" x14ac:dyDescent="0.3">
      <c r="C62" t="s">
        <v>86</v>
      </c>
      <c r="D62">
        <v>369.8</v>
      </c>
      <c r="E62">
        <v>4.97</v>
      </c>
      <c r="F62">
        <v>0.221</v>
      </c>
    </row>
    <row r="63" spans="2:6" x14ac:dyDescent="0.3">
      <c r="C63" t="s">
        <v>87</v>
      </c>
      <c r="D63">
        <v>471.2</v>
      </c>
      <c r="E63">
        <v>4.3499999999999996</v>
      </c>
      <c r="F63">
        <v>0.188</v>
      </c>
    </row>
    <row r="64" spans="2:6" x14ac:dyDescent="0.3">
      <c r="C64" t="s">
        <v>88</v>
      </c>
      <c r="D64">
        <v>487.2</v>
      </c>
      <c r="E64">
        <v>3.37</v>
      </c>
      <c r="F64">
        <v>0.252</v>
      </c>
    </row>
    <row r="65" spans="2:6" x14ac:dyDescent="0.3">
      <c r="C65" t="s">
        <v>89</v>
      </c>
      <c r="D65">
        <v>416.3</v>
      </c>
      <c r="E65">
        <v>6.59</v>
      </c>
      <c r="F65">
        <v>0.156</v>
      </c>
    </row>
    <row r="66" spans="2:6" x14ac:dyDescent="0.3">
      <c r="C66" t="s">
        <v>90</v>
      </c>
      <c r="D66">
        <v>536.4</v>
      </c>
      <c r="E66">
        <v>5.4</v>
      </c>
      <c r="F66">
        <v>0.216</v>
      </c>
    </row>
    <row r="67" spans="2:6" x14ac:dyDescent="0.3">
      <c r="C67" t="s">
        <v>91</v>
      </c>
      <c r="D67">
        <v>556.4</v>
      </c>
      <c r="E67">
        <v>4.5</v>
      </c>
      <c r="F67">
        <v>0.19400000000000001</v>
      </c>
    </row>
    <row r="68" spans="2:6" x14ac:dyDescent="0.3">
      <c r="C68" t="s">
        <v>92</v>
      </c>
      <c r="D68">
        <v>632.4</v>
      </c>
      <c r="E68">
        <v>4.46</v>
      </c>
      <c r="F68">
        <v>0.249</v>
      </c>
    </row>
    <row r="69" spans="2:6" x14ac:dyDescent="0.3">
      <c r="B69" s="38" t="s">
        <v>93</v>
      </c>
    </row>
    <row r="70" spans="2:6" x14ac:dyDescent="0.3">
      <c r="B70">
        <v>914</v>
      </c>
      <c r="C70" t="s">
        <v>94</v>
      </c>
      <c r="D70">
        <v>150.9</v>
      </c>
      <c r="E70">
        <v>4.8979999999999997</v>
      </c>
      <c r="F70">
        <v>-4.0000000000000001E-3</v>
      </c>
    </row>
    <row r="71" spans="2:6" x14ac:dyDescent="0.3">
      <c r="B71">
        <v>922</v>
      </c>
      <c r="C71" t="s">
        <v>95</v>
      </c>
      <c r="D71">
        <v>584.20000000000005</v>
      </c>
      <c r="E71">
        <v>10.335000000000001</v>
      </c>
      <c r="F71">
        <v>0.11899999999999999</v>
      </c>
    </row>
    <row r="72" spans="2:6" x14ac:dyDescent="0.3">
      <c r="B72">
        <v>918</v>
      </c>
      <c r="C72" t="s">
        <v>96</v>
      </c>
      <c r="D72">
        <v>417.2</v>
      </c>
      <c r="E72">
        <v>7.7110000000000003</v>
      </c>
      <c r="F72">
        <v>6.9000000000000006E-2</v>
      </c>
    </row>
    <row r="73" spans="2:6" x14ac:dyDescent="0.3">
      <c r="B73">
        <v>913</v>
      </c>
      <c r="C73" t="s">
        <v>97</v>
      </c>
      <c r="D73">
        <v>5.2</v>
      </c>
      <c r="E73">
        <v>0.22800000000000001</v>
      </c>
      <c r="F73">
        <v>0</v>
      </c>
    </row>
    <row r="74" spans="2:6" x14ac:dyDescent="0.3">
      <c r="B74">
        <v>920</v>
      </c>
      <c r="C74" t="s">
        <v>98</v>
      </c>
      <c r="D74">
        <v>209.4</v>
      </c>
      <c r="E74">
        <v>5.5019999999999998</v>
      </c>
      <c r="F74">
        <v>1E-3</v>
      </c>
    </row>
    <row r="75" spans="2:6" x14ac:dyDescent="0.3">
      <c r="B75">
        <v>919</v>
      </c>
      <c r="C75" t="s">
        <v>99</v>
      </c>
      <c r="D75">
        <v>44.4</v>
      </c>
      <c r="E75">
        <v>2.653</v>
      </c>
      <c r="F75">
        <v>-4.1000000000000002E-2</v>
      </c>
    </row>
    <row r="76" spans="2:6" x14ac:dyDescent="0.3">
      <c r="B76">
        <v>959</v>
      </c>
      <c r="C76" t="s">
        <v>100</v>
      </c>
      <c r="D76">
        <v>289.7</v>
      </c>
      <c r="E76">
        <v>5.84</v>
      </c>
      <c r="F76">
        <v>1.2E-2</v>
      </c>
    </row>
    <row r="77" spans="2:6" x14ac:dyDescent="0.3">
      <c r="B77">
        <v>912</v>
      </c>
      <c r="C77" t="s">
        <v>101</v>
      </c>
      <c r="D77">
        <v>180.2</v>
      </c>
      <c r="E77">
        <v>6.4850000000000003</v>
      </c>
      <c r="F77">
        <v>0.58499999999999996</v>
      </c>
    </row>
    <row r="78" spans="2:6" x14ac:dyDescent="0.3">
      <c r="B78">
        <v>899</v>
      </c>
      <c r="C78" t="s">
        <v>102</v>
      </c>
      <c r="D78">
        <v>309.60000000000002</v>
      </c>
      <c r="E78">
        <v>7.2450000000000001</v>
      </c>
      <c r="F78">
        <v>0.14199999999999999</v>
      </c>
    </row>
    <row r="79" spans="2:6" x14ac:dyDescent="0.3">
      <c r="B79">
        <v>910</v>
      </c>
      <c r="C79" t="s">
        <v>103</v>
      </c>
      <c r="D79">
        <v>430.8</v>
      </c>
      <c r="E79">
        <v>7.8840000000000003</v>
      </c>
      <c r="F79">
        <v>0.245</v>
      </c>
    </row>
    <row r="80" spans="2:6" x14ac:dyDescent="0.3">
      <c r="B80">
        <v>911</v>
      </c>
      <c r="C80" t="s">
        <v>104</v>
      </c>
      <c r="D80">
        <v>490.9</v>
      </c>
      <c r="E80">
        <v>8.2070000000000007</v>
      </c>
      <c r="F80">
        <v>0.42199999999999999</v>
      </c>
    </row>
    <row r="81" spans="2:6" x14ac:dyDescent="0.3">
      <c r="B81">
        <v>901</v>
      </c>
      <c r="C81" t="s">
        <v>105</v>
      </c>
      <c r="D81">
        <v>154.6</v>
      </c>
      <c r="E81">
        <v>5.0430000000000001</v>
      </c>
      <c r="F81">
        <v>2.1999999999999999E-2</v>
      </c>
    </row>
    <row r="82" spans="2:6" x14ac:dyDescent="0.3">
      <c r="B82">
        <v>902</v>
      </c>
      <c r="C82" t="s">
        <v>106</v>
      </c>
      <c r="D82">
        <v>33.299999999999997</v>
      </c>
      <c r="E82">
        <v>1.2969999999999999</v>
      </c>
      <c r="F82">
        <v>-0.215</v>
      </c>
    </row>
    <row r="83" spans="2:6" x14ac:dyDescent="0.3">
      <c r="B83">
        <v>905</v>
      </c>
      <c r="C83" t="s">
        <v>107</v>
      </c>
      <c r="D83">
        <v>126.1</v>
      </c>
      <c r="E83">
        <v>3.3940000000000001</v>
      </c>
      <c r="F83">
        <v>0.04</v>
      </c>
    </row>
    <row r="84" spans="2:6" x14ac:dyDescent="0.3">
      <c r="B84">
        <v>908</v>
      </c>
      <c r="C84" t="s">
        <v>108</v>
      </c>
      <c r="D84">
        <v>132.9</v>
      </c>
      <c r="E84">
        <v>3.4990000000000001</v>
      </c>
      <c r="F84">
        <v>6.6000000000000003E-2</v>
      </c>
    </row>
    <row r="85" spans="2:6" x14ac:dyDescent="0.3">
      <c r="B85">
        <v>909</v>
      </c>
      <c r="C85" t="s">
        <v>109</v>
      </c>
      <c r="D85">
        <v>304.2</v>
      </c>
      <c r="E85">
        <v>7.3819999999999997</v>
      </c>
      <c r="F85">
        <v>0.22800000000000001</v>
      </c>
    </row>
    <row r="86" spans="2:6" x14ac:dyDescent="0.3">
      <c r="B86" s="38" t="s">
        <v>110</v>
      </c>
    </row>
    <row r="87" spans="2:6" x14ac:dyDescent="0.3">
      <c r="B87">
        <v>1922</v>
      </c>
      <c r="C87" t="s">
        <v>111</v>
      </c>
      <c r="D87">
        <v>373.5</v>
      </c>
      <c r="E87">
        <v>8.9369999999999994</v>
      </c>
      <c r="F87">
        <v>8.1000000000000003E-2</v>
      </c>
    </row>
    <row r="88" spans="2:6" x14ac:dyDescent="0.3">
      <c r="B88" t="s">
        <v>79</v>
      </c>
      <c r="C88" t="s">
        <v>112</v>
      </c>
      <c r="D88">
        <v>552</v>
      </c>
      <c r="E88">
        <v>7.8</v>
      </c>
      <c r="F88">
        <v>0.115</v>
      </c>
    </row>
    <row r="89" spans="2:6" x14ac:dyDescent="0.3">
      <c r="B89" t="s">
        <v>79</v>
      </c>
      <c r="C89" t="s">
        <v>113</v>
      </c>
      <c r="D89">
        <v>653</v>
      </c>
      <c r="E89">
        <v>14.5</v>
      </c>
      <c r="F89">
        <v>0.32800000000000001</v>
      </c>
    </row>
    <row r="90" spans="2:6" x14ac:dyDescent="0.3">
      <c r="B90" t="s">
        <v>79</v>
      </c>
      <c r="C90" t="s">
        <v>114</v>
      </c>
      <c r="D90">
        <v>324.60000000000002</v>
      </c>
      <c r="E90">
        <v>8.1999999999999993</v>
      </c>
      <c r="F90">
        <v>0.12</v>
      </c>
    </row>
    <row r="91" spans="2:6" x14ac:dyDescent="0.3">
      <c r="B91" t="s">
        <v>79</v>
      </c>
      <c r="C91" t="s">
        <v>115</v>
      </c>
      <c r="D91">
        <v>456.8</v>
      </c>
      <c r="E91">
        <v>5.32</v>
      </c>
      <c r="F91">
        <v>0.40699999999999997</v>
      </c>
    </row>
    <row r="92" spans="2:6" x14ac:dyDescent="0.3">
      <c r="B92" s="93" t="s">
        <v>116</v>
      </c>
      <c r="C92" s="93"/>
    </row>
    <row r="93" spans="2:6" x14ac:dyDescent="0.3">
      <c r="B93">
        <v>1051</v>
      </c>
      <c r="C93" t="s">
        <v>117</v>
      </c>
      <c r="D93">
        <v>508.2</v>
      </c>
      <c r="E93">
        <v>4.7009999999999996</v>
      </c>
      <c r="F93">
        <v>0.30599999999999999</v>
      </c>
    </row>
    <row r="94" spans="2:6" x14ac:dyDescent="0.3">
      <c r="B94">
        <v>1772</v>
      </c>
      <c r="C94" t="s">
        <v>118</v>
      </c>
      <c r="D94">
        <v>545.5</v>
      </c>
      <c r="E94">
        <v>4.8330000000000002</v>
      </c>
      <c r="F94">
        <v>0.35299999999999998</v>
      </c>
    </row>
    <row r="95" spans="2:6" x14ac:dyDescent="0.3">
      <c r="B95">
        <v>1251</v>
      </c>
      <c r="C95" t="s">
        <v>119</v>
      </c>
      <c r="D95">
        <v>592.70000000000005</v>
      </c>
      <c r="E95">
        <v>5.7859999999999996</v>
      </c>
      <c r="F95">
        <v>0.46200000000000002</v>
      </c>
    </row>
    <row r="96" spans="2:6" x14ac:dyDescent="0.3">
      <c r="B96">
        <v>1911</v>
      </c>
      <c r="C96" t="s">
        <v>120</v>
      </c>
      <c r="D96">
        <v>406.6</v>
      </c>
      <c r="E96">
        <v>11.27</v>
      </c>
      <c r="F96">
        <v>0.252</v>
      </c>
    </row>
    <row r="97" spans="2:6" x14ac:dyDescent="0.3">
      <c r="B97">
        <v>1921</v>
      </c>
      <c r="C97" t="s">
        <v>121</v>
      </c>
      <c r="D97">
        <v>647.29999999999995</v>
      </c>
      <c r="E97">
        <v>22.12</v>
      </c>
      <c r="F97">
        <v>0.34399999999999997</v>
      </c>
    </row>
    <row r="100" spans="2:6" x14ac:dyDescent="0.3">
      <c r="B100" t="s">
        <v>122</v>
      </c>
    </row>
  </sheetData>
  <mergeCells count="3">
    <mergeCell ref="B1:F1"/>
    <mergeCell ref="B2:F2"/>
    <mergeCell ref="B92:C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4094-4726-4F7C-9FE5-D4FEBF372A9A}">
  <dimension ref="A1:N167"/>
  <sheetViews>
    <sheetView tabSelected="1" topLeftCell="A58" workbookViewId="0">
      <selection activeCell="B7" sqref="B7"/>
    </sheetView>
  </sheetViews>
  <sheetFormatPr defaultRowHeight="14.4" x14ac:dyDescent="0.3"/>
  <cols>
    <col min="1" max="1" width="33.88671875" style="65" customWidth="1"/>
    <col min="2" max="2" width="16.5546875" style="65" customWidth="1"/>
    <col min="3" max="3" width="14.77734375" style="65" customWidth="1"/>
    <col min="4" max="4" width="14" style="65" customWidth="1"/>
    <col min="5" max="5" width="14.77734375" style="65" customWidth="1"/>
    <col min="6" max="6" width="17.88671875" style="65" customWidth="1"/>
    <col min="7" max="7" width="12.88671875" style="65" customWidth="1"/>
    <col min="8" max="8" width="12.21875" style="65" customWidth="1"/>
    <col min="9" max="9" width="12.33203125" style="65" customWidth="1"/>
    <col min="10" max="10" width="14.21875" style="65" customWidth="1"/>
    <col min="11" max="11" width="14" style="65" customWidth="1"/>
    <col min="12" max="12" width="15.77734375" style="65" bestFit="1" customWidth="1"/>
    <col min="13" max="13" width="8.88671875" style="65" customWidth="1"/>
    <col min="14" max="16384" width="8.88671875" style="65"/>
  </cols>
  <sheetData>
    <row r="1" spans="1:14" ht="31.2" customHeight="1" x14ac:dyDescent="0.3">
      <c r="A1" s="91" t="s">
        <v>183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4" ht="31.2" customHeight="1" x14ac:dyDescent="0.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4" ht="19.2" customHeight="1" x14ac:dyDescent="0.3">
      <c r="A3" s="3"/>
      <c r="B3" s="3"/>
      <c r="C3" s="3"/>
    </row>
    <row r="4" spans="1:14" ht="22.8" customHeight="1" x14ac:dyDescent="0.3">
      <c r="A4" s="31" t="s">
        <v>177</v>
      </c>
      <c r="B4" s="32">
        <v>8.3144626181532395</v>
      </c>
      <c r="C4" s="31" t="s">
        <v>178</v>
      </c>
      <c r="J4" s="1"/>
      <c r="K4" s="1"/>
      <c r="L4" s="1"/>
      <c r="M4" s="1"/>
    </row>
    <row r="5" spans="1:14" ht="22.8" customHeight="1" x14ac:dyDescent="0.3">
      <c r="A5" s="29" t="s">
        <v>172</v>
      </c>
      <c r="B5" s="30">
        <v>40</v>
      </c>
      <c r="C5" s="29" t="s">
        <v>175</v>
      </c>
      <c r="E5" s="19"/>
      <c r="F5" s="19"/>
      <c r="G5" s="19"/>
      <c r="H5" s="18"/>
      <c r="I5" s="18"/>
    </row>
    <row r="6" spans="1:14" ht="22.8" customHeight="1" x14ac:dyDescent="0.3">
      <c r="A6" s="29" t="s">
        <v>173</v>
      </c>
      <c r="B6" s="30">
        <v>5</v>
      </c>
      <c r="C6" s="29" t="s">
        <v>202</v>
      </c>
      <c r="E6" s="85" t="s">
        <v>161</v>
      </c>
      <c r="F6" s="86"/>
      <c r="G6" s="85" t="s">
        <v>162</v>
      </c>
      <c r="H6" s="92"/>
      <c r="I6" s="86"/>
    </row>
    <row r="7" spans="1:14" ht="33.6" customHeight="1" x14ac:dyDescent="0.3">
      <c r="A7" s="33" t="s">
        <v>172</v>
      </c>
      <c r="B7" s="34">
        <f>B5+273.15</f>
        <v>313.14999999999998</v>
      </c>
      <c r="C7" s="33" t="s">
        <v>0</v>
      </c>
      <c r="E7" s="33" t="s">
        <v>163</v>
      </c>
      <c r="F7" s="36">
        <f>B7</f>
        <v>313.14999999999998</v>
      </c>
      <c r="G7" s="62" t="s">
        <v>164</v>
      </c>
      <c r="H7" s="62" t="s">
        <v>165</v>
      </c>
      <c r="I7" s="85" t="s">
        <v>166</v>
      </c>
      <c r="J7" s="86"/>
      <c r="K7" s="66" t="s">
        <v>198</v>
      </c>
      <c r="L7" s="66" t="s">
        <v>199</v>
      </c>
    </row>
    <row r="8" spans="1:14" ht="28.2" customHeight="1" x14ac:dyDescent="0.3">
      <c r="A8" s="33" t="s">
        <v>173</v>
      </c>
      <c r="B8" s="35">
        <f>$B$6*0.1</f>
        <v>0.5</v>
      </c>
      <c r="C8" s="33" t="s">
        <v>1</v>
      </c>
      <c r="E8" s="33" t="s">
        <v>167</v>
      </c>
      <c r="F8" s="37">
        <f>B8</f>
        <v>0.5</v>
      </c>
      <c r="G8" s="20"/>
      <c r="H8" s="20" t="s">
        <v>170</v>
      </c>
      <c r="I8" s="20" t="s">
        <v>1</v>
      </c>
      <c r="J8" s="50" t="s">
        <v>182</v>
      </c>
      <c r="K8" s="50" t="s">
        <v>200</v>
      </c>
      <c r="L8" s="50" t="s">
        <v>201</v>
      </c>
    </row>
    <row r="9" spans="1:14" ht="24" customHeight="1" x14ac:dyDescent="0.3">
      <c r="A9" s="21"/>
      <c r="B9" s="21"/>
      <c r="C9" s="21"/>
      <c r="E9" s="76" t="s">
        <v>171</v>
      </c>
      <c r="F9" s="76"/>
      <c r="G9" s="39">
        <f>K153</f>
        <v>0.96868149548879434</v>
      </c>
      <c r="H9" s="39">
        <f>G9*$B$4*$B$7/$B$8</f>
        <v>5044.2615878695524</v>
      </c>
      <c r="I9" s="39">
        <f>$B$8*EXP(G9-1-LN(G9-$B$11)-$B$10/$B$11/2.8284*LN((G9+2.4142*$B$11)/(G9-0.4142*$B$11)))</f>
        <v>0.48475034294403851</v>
      </c>
      <c r="J9" s="51">
        <f t="shared" ref="J9:J11" si="0">(I9/0.0980665)+1.03323</f>
        <v>5.9763078394664699</v>
      </c>
      <c r="K9" s="50">
        <f t="shared" ref="K9:K11" si="1">0.0180153/(H9*0.000001)</f>
        <v>3.5714444396228822</v>
      </c>
      <c r="L9" s="50">
        <f t="shared" ref="L9:L11" si="2">(H9*0.000001)/0.0180153</f>
        <v>0.27999875593909351</v>
      </c>
    </row>
    <row r="10" spans="1:14" ht="26.4" customHeight="1" x14ac:dyDescent="0.3">
      <c r="A10" s="52" t="str">
        <f>A138</f>
        <v>A</v>
      </c>
      <c r="B10" s="52">
        <f>B138</f>
        <v>3.4692805120767375E-2</v>
      </c>
      <c r="C10" s="21"/>
      <c r="E10" s="76"/>
      <c r="F10" s="76"/>
      <c r="G10" s="39">
        <f>K154</f>
        <v>2.1236771023528056E-2</v>
      </c>
      <c r="H10" s="39">
        <f t="shared" ref="H10:H11" si="3">G10*$B$4*$B$7/$B$8</f>
        <v>110.58725579382448</v>
      </c>
      <c r="I10" s="39">
        <f t="shared" ref="I10:I11" si="4">$B$8*EXP(G10-1-LN(G10-$B$11)-$B$10/$B$11/2.8284*LN((G10+2.4142*$B$11)/(G10-0.4142*$B$11)))</f>
        <v>2.706398292850023</v>
      </c>
      <c r="J10" s="51">
        <f t="shared" si="0"/>
        <v>28.630812179949555</v>
      </c>
      <c r="K10" s="50">
        <f t="shared" si="1"/>
        <v>162.90575139677196</v>
      </c>
      <c r="L10" s="50">
        <f t="shared" si="2"/>
        <v>6.1385186921019616E-3</v>
      </c>
      <c r="M10" s="5"/>
      <c r="N10" s="5"/>
    </row>
    <row r="11" spans="1:14" ht="25.2" customHeight="1" x14ac:dyDescent="0.3">
      <c r="A11" s="52" t="str">
        <f>A139</f>
        <v>B</v>
      </c>
      <c r="B11" s="52">
        <f>B139</f>
        <v>4.0509738622397963E-3</v>
      </c>
      <c r="C11" s="21"/>
      <c r="E11" s="76"/>
      <c r="F11" s="76"/>
      <c r="G11" s="39">
        <f>K155</f>
        <v>6.0307596254376983E-3</v>
      </c>
      <c r="H11" s="39">
        <f t="shared" si="3"/>
        <v>31.404263698585183</v>
      </c>
      <c r="I11" s="39">
        <f t="shared" si="4"/>
        <v>1.8816119910294864</v>
      </c>
      <c r="J11" s="51">
        <f t="shared" si="0"/>
        <v>20.220332537864472</v>
      </c>
      <c r="K11" s="50">
        <f t="shared" si="1"/>
        <v>573.65777376310916</v>
      </c>
      <c r="L11" s="50">
        <f t="shared" si="2"/>
        <v>1.7431995969306746E-3</v>
      </c>
    </row>
    <row r="12" spans="1:14" ht="26.4" customHeight="1" x14ac:dyDescent="0.3">
      <c r="E12" s="76" t="s">
        <v>168</v>
      </c>
      <c r="F12" s="76"/>
      <c r="G12" s="39" t="e">
        <f>B155</f>
        <v>#NUM!</v>
      </c>
      <c r="H12" s="39" t="e">
        <f>G12*$B$4*$B$7/$B$8</f>
        <v>#NUM!</v>
      </c>
      <c r="I12" s="39" t="e">
        <f>$B$8*EXP(G12-1-LN(G12-$B$11)-$B$10/$B$11/2.8284*LN((G12+2.4142*$B$11)/(G12-0.4142*$B$11)))</f>
        <v>#NUM!</v>
      </c>
      <c r="J12" s="51" t="e">
        <f>(I12/0.0980665)+1.03323</f>
        <v>#NUM!</v>
      </c>
      <c r="K12" s="50" t="e">
        <f>0.0180153/(H12*0.000001)</f>
        <v>#NUM!</v>
      </c>
      <c r="L12" s="50" t="e">
        <f>(H12*0.000001)/0.0180153</f>
        <v>#NUM!</v>
      </c>
    </row>
    <row r="13" spans="1:14" ht="15.6" x14ac:dyDescent="0.3">
      <c r="B13" s="34">
        <f>B11+273.15</f>
        <v>273.15405097386224</v>
      </c>
      <c r="E13" s="85" t="s">
        <v>169</v>
      </c>
      <c r="F13" s="92"/>
      <c r="G13" s="92"/>
      <c r="H13" s="92"/>
      <c r="I13" s="92"/>
      <c r="J13" s="86"/>
    </row>
    <row r="14" spans="1:14" ht="15.6" x14ac:dyDescent="0.3">
      <c r="B14" s="35">
        <f>ABS((B12-1.03323)*0.0980665)</f>
        <v>0.10132524979500002</v>
      </c>
      <c r="E14" s="19"/>
      <c r="F14" s="19"/>
      <c r="G14" s="19"/>
      <c r="H14" s="19"/>
      <c r="I14" s="19"/>
      <c r="J14" s="19"/>
    </row>
    <row r="16" spans="1:14" x14ac:dyDescent="0.3">
      <c r="A16" s="3"/>
      <c r="B16" s="2"/>
      <c r="C16" s="3"/>
    </row>
    <row r="17" spans="1:12" x14ac:dyDescent="0.3">
      <c r="A17" s="67" t="s">
        <v>2</v>
      </c>
      <c r="B17" s="2"/>
      <c r="C17" s="3"/>
      <c r="D17" s="94"/>
    </row>
    <row r="19" spans="1:12" x14ac:dyDescent="0.3">
      <c r="A19" s="7" t="s">
        <v>12</v>
      </c>
      <c r="B19" s="24" t="s">
        <v>3</v>
      </c>
      <c r="C19" s="24" t="s">
        <v>4</v>
      </c>
      <c r="D19" s="24" t="s">
        <v>5</v>
      </c>
      <c r="E19" s="24" t="s">
        <v>6</v>
      </c>
      <c r="F19" s="24" t="s">
        <v>7</v>
      </c>
      <c r="G19" s="24" t="s">
        <v>8</v>
      </c>
      <c r="H19" s="24" t="s">
        <v>9</v>
      </c>
      <c r="I19" s="24" t="s">
        <v>10</v>
      </c>
      <c r="J19" s="24" t="s">
        <v>19</v>
      </c>
      <c r="K19" s="24" t="s">
        <v>20</v>
      </c>
    </row>
    <row r="20" spans="1:12" x14ac:dyDescent="0.3">
      <c r="A20" s="8" t="s">
        <v>13</v>
      </c>
      <c r="B20" s="65">
        <v>1</v>
      </c>
      <c r="C20" s="65">
        <v>2</v>
      </c>
      <c r="D20" s="65">
        <v>3</v>
      </c>
      <c r="E20" s="65">
        <v>4</v>
      </c>
      <c r="F20" s="65">
        <v>5</v>
      </c>
      <c r="G20" s="65">
        <v>6</v>
      </c>
      <c r="H20" s="65">
        <v>7</v>
      </c>
      <c r="I20" s="65">
        <v>8</v>
      </c>
      <c r="J20" s="65">
        <v>9</v>
      </c>
      <c r="K20" s="65">
        <v>10</v>
      </c>
      <c r="L20" s="63" t="s">
        <v>179</v>
      </c>
    </row>
    <row r="21" spans="1:12" ht="23.4" customHeight="1" x14ac:dyDescent="0.3">
      <c r="A21" s="22" t="s">
        <v>174</v>
      </c>
      <c r="B21" s="56">
        <v>0.3</v>
      </c>
      <c r="C21" s="56">
        <v>0.1</v>
      </c>
      <c r="D21" s="56">
        <v>0.6</v>
      </c>
      <c r="E21" s="56">
        <v>0</v>
      </c>
      <c r="F21" s="56">
        <v>0</v>
      </c>
      <c r="G21" s="56">
        <v>0</v>
      </c>
      <c r="H21" s="56">
        <v>0</v>
      </c>
      <c r="I21" s="57">
        <v>0</v>
      </c>
      <c r="J21" s="56">
        <v>0</v>
      </c>
      <c r="K21" s="56">
        <v>0</v>
      </c>
      <c r="L21" s="57">
        <f>SUM(B21:K21)</f>
        <v>1</v>
      </c>
    </row>
    <row r="22" spans="1:12" ht="15.6" x14ac:dyDescent="0.35">
      <c r="A22" s="8" t="s">
        <v>14</v>
      </c>
      <c r="B22" s="68">
        <v>190.6</v>
      </c>
      <c r="C22" s="68">
        <v>33.299999999999997</v>
      </c>
      <c r="D22" s="68">
        <v>647.29999999999995</v>
      </c>
      <c r="E22" s="68">
        <v>132.9</v>
      </c>
      <c r="F22" s="68">
        <v>304.2</v>
      </c>
      <c r="G22" s="68">
        <v>150.9</v>
      </c>
      <c r="H22" s="68">
        <v>126.1</v>
      </c>
      <c r="I22" s="68">
        <v>154.6</v>
      </c>
      <c r="J22" s="68">
        <v>406.6</v>
      </c>
      <c r="K22" s="68">
        <v>512.6</v>
      </c>
    </row>
    <row r="23" spans="1:12" ht="15.6" x14ac:dyDescent="0.35">
      <c r="A23" s="8" t="s">
        <v>15</v>
      </c>
      <c r="B23" s="68">
        <v>4.600155</v>
      </c>
      <c r="C23" s="68">
        <v>1.2969599999999999</v>
      </c>
      <c r="D23" s="68">
        <v>22.04832</v>
      </c>
      <c r="E23" s="68">
        <v>3.4990000000000001</v>
      </c>
      <c r="F23" s="68">
        <v>7.3819999999999997</v>
      </c>
      <c r="G23" s="68">
        <v>4.8979999999999997</v>
      </c>
      <c r="H23" s="68">
        <v>3.3940000000000001</v>
      </c>
      <c r="I23" s="68">
        <v>5.0430000000000001</v>
      </c>
      <c r="J23" s="68">
        <v>11.27</v>
      </c>
      <c r="K23" s="68">
        <v>8.0960000000000001</v>
      </c>
    </row>
    <row r="24" spans="1:12" ht="15.6" x14ac:dyDescent="0.35">
      <c r="A24" s="10" t="s">
        <v>17</v>
      </c>
      <c r="B24" s="68">
        <v>1.0999999999999999E-2</v>
      </c>
      <c r="C24" s="68">
        <v>-0.22</v>
      </c>
      <c r="D24" s="68">
        <v>0.34399999999999997</v>
      </c>
      <c r="E24" s="68">
        <v>6.6000000000000003E-2</v>
      </c>
      <c r="F24" s="68">
        <v>0.22800000000000001</v>
      </c>
      <c r="G24" s="68">
        <v>-4.0000000000000001E-3</v>
      </c>
      <c r="H24" s="68">
        <v>0.04</v>
      </c>
      <c r="I24" s="68">
        <v>2.1999999999999999E-2</v>
      </c>
      <c r="J24" s="68">
        <v>0.252</v>
      </c>
      <c r="K24" s="68">
        <v>0.56599999999999995</v>
      </c>
    </row>
    <row r="25" spans="1:12" ht="15.6" x14ac:dyDescent="0.35">
      <c r="A25" s="9" t="s">
        <v>18</v>
      </c>
      <c r="B25" s="65">
        <f>(0.4572355289*($B$4*B22)^2)/B23</f>
        <v>249621.31504378736</v>
      </c>
      <c r="C25" s="65">
        <f t="shared" ref="C25:K25" si="5">(0.4572355289*($B$4*C22)^2)/C23</f>
        <v>27025.281380042819</v>
      </c>
      <c r="D25" s="65">
        <f t="shared" si="5"/>
        <v>600681.21432112553</v>
      </c>
      <c r="E25" s="65">
        <f t="shared" si="5"/>
        <v>159556.44772561549</v>
      </c>
      <c r="F25" s="65">
        <f t="shared" si="5"/>
        <v>396234.89351413411</v>
      </c>
      <c r="G25" s="65">
        <f t="shared" si="5"/>
        <v>146949.47479447565</v>
      </c>
      <c r="H25" s="65">
        <f t="shared" si="5"/>
        <v>148090.32104152735</v>
      </c>
      <c r="I25" s="65">
        <f t="shared" si="5"/>
        <v>149809.15364799672</v>
      </c>
      <c r="J25" s="65">
        <f t="shared" si="5"/>
        <v>463680.86291069363</v>
      </c>
      <c r="K25" s="65">
        <f t="shared" si="5"/>
        <v>1025876.410746834</v>
      </c>
    </row>
    <row r="26" spans="1:12" ht="15.6" x14ac:dyDescent="0.35">
      <c r="A26" s="9" t="s">
        <v>16</v>
      </c>
      <c r="B26" s="65">
        <f>(0.0777960739*$B$4*B22)/B23</f>
        <v>26.800462963158715</v>
      </c>
      <c r="C26" s="65">
        <f t="shared" ref="C26:K26" si="6">(0.0777960739*$B$4*C22)/C23</f>
        <v>16.607700975932339</v>
      </c>
      <c r="D26" s="65">
        <f t="shared" si="6"/>
        <v>18.989869001450277</v>
      </c>
      <c r="E26" s="65">
        <f t="shared" si="6"/>
        <v>24.568175383394298</v>
      </c>
      <c r="F26" s="65">
        <f t="shared" si="6"/>
        <v>26.654898562309636</v>
      </c>
      <c r="G26" s="65">
        <f t="shared" si="6"/>
        <v>19.927936205706025</v>
      </c>
      <c r="H26" s="65">
        <f t="shared" si="6"/>
        <v>24.032287665936447</v>
      </c>
      <c r="I26" s="65">
        <f t="shared" si="6"/>
        <v>19.829528448182916</v>
      </c>
      <c r="J26" s="65">
        <f t="shared" si="6"/>
        <v>23.336478627409665</v>
      </c>
      <c r="K26" s="65">
        <f t="shared" si="6"/>
        <v>40.954343410159886</v>
      </c>
    </row>
    <row r="27" spans="1:12" x14ac:dyDescent="0.3">
      <c r="A27" s="10" t="s">
        <v>123</v>
      </c>
      <c r="B27" s="65">
        <f>$B$7/B22</f>
        <v>1.6429695697796431</v>
      </c>
      <c r="C27" s="65">
        <f t="shared" ref="C27:K27" si="7">$B$7/C22</f>
        <v>9.4039039039039043</v>
      </c>
      <c r="D27" s="65">
        <f t="shared" si="7"/>
        <v>0.48377877336629077</v>
      </c>
      <c r="E27" s="65">
        <f t="shared" si="7"/>
        <v>2.3562829194883368</v>
      </c>
      <c r="F27" s="65">
        <f t="shared" si="7"/>
        <v>1.0294214332675871</v>
      </c>
      <c r="G27" s="65">
        <f t="shared" si="7"/>
        <v>2.0752153744201456</v>
      </c>
      <c r="H27" s="65">
        <f t="shared" si="7"/>
        <v>2.4833465503568597</v>
      </c>
      <c r="I27" s="65">
        <f t="shared" si="7"/>
        <v>2.025549805950841</v>
      </c>
      <c r="J27" s="65">
        <f t="shared" si="7"/>
        <v>0.77016724053123453</v>
      </c>
      <c r="K27" s="65">
        <f t="shared" si="7"/>
        <v>0.61090518923136938</v>
      </c>
    </row>
    <row r="28" spans="1:12" x14ac:dyDescent="0.3">
      <c r="A28" s="23" t="s">
        <v>124</v>
      </c>
      <c r="B28" s="65">
        <f>0.37464+(1.54226*B24)-(0.26992*B24^2)</f>
        <v>0.39157219967999995</v>
      </c>
      <c r="C28" s="65">
        <f t="shared" ref="C28:K28" si="8">0.37464+(1.54226*C24)-(0.26992*C24^2)</f>
        <v>2.2278671999999951E-2</v>
      </c>
      <c r="D28" s="65">
        <f t="shared" si="8"/>
        <v>0.87323618687999993</v>
      </c>
      <c r="E28" s="65">
        <f t="shared" si="8"/>
        <v>0.47525338847999998</v>
      </c>
      <c r="F28" s="65">
        <f t="shared" si="8"/>
        <v>0.71224375872000001</v>
      </c>
      <c r="G28" s="65">
        <f t="shared" si="8"/>
        <v>0.36846664127999995</v>
      </c>
      <c r="H28" s="65">
        <f t="shared" si="8"/>
        <v>0.43589852799999995</v>
      </c>
      <c r="I28" s="65">
        <f t="shared" si="8"/>
        <v>0.40843907871999996</v>
      </c>
      <c r="J28" s="65">
        <f t="shared" si="8"/>
        <v>0.7461485203199999</v>
      </c>
      <c r="K28" s="65">
        <f t="shared" si="8"/>
        <v>1.1610886684799997</v>
      </c>
    </row>
    <row r="29" spans="1:12" x14ac:dyDescent="0.3">
      <c r="A29" s="23" t="s">
        <v>125</v>
      </c>
      <c r="B29" s="65">
        <f>(1+(B28*(1-SQRT(B27))))^2</f>
        <v>0.79149726254080055</v>
      </c>
      <c r="C29" s="65">
        <f t="shared" ref="C29:K29" si="9">(1+(C28*(1-SQRT(C27))))^2</f>
        <v>0.91003848854642655</v>
      </c>
      <c r="D29" s="65">
        <f t="shared" si="9"/>
        <v>1.6024108575102147</v>
      </c>
      <c r="E29" s="65">
        <f t="shared" si="9"/>
        <v>0.55611393530845399</v>
      </c>
      <c r="F29" s="65">
        <f t="shared" si="9"/>
        <v>0.97930486905587033</v>
      </c>
      <c r="G29" s="65">
        <f t="shared" si="9"/>
        <v>0.70168775760362179</v>
      </c>
      <c r="H29" s="65">
        <f t="shared" si="9"/>
        <v>0.56097379692171734</v>
      </c>
      <c r="I29" s="65">
        <f t="shared" si="9"/>
        <v>0.68416253590143195</v>
      </c>
      <c r="J29" s="65">
        <f t="shared" si="9"/>
        <v>1.1910115392858398</v>
      </c>
      <c r="K29" s="65">
        <f t="shared" si="9"/>
        <v>1.5714548969309896</v>
      </c>
    </row>
    <row r="30" spans="1:12" ht="15.6" x14ac:dyDescent="0.35">
      <c r="A30" s="9" t="s">
        <v>128</v>
      </c>
      <c r="B30" s="65">
        <f>B25*B29</f>
        <v>197574.58752899244</v>
      </c>
      <c r="C30" s="65">
        <f t="shared" ref="C30:K30" si="10">C25*C29</f>
        <v>24594.046219636053</v>
      </c>
      <c r="D30" s="65">
        <f t="shared" si="10"/>
        <v>962538.09973059187</v>
      </c>
      <c r="E30" s="65">
        <f t="shared" si="10"/>
        <v>88731.564048529661</v>
      </c>
      <c r="F30" s="65">
        <f t="shared" si="10"/>
        <v>388034.76050822582</v>
      </c>
      <c r="G30" s="65">
        <f t="shared" si="10"/>
        <v>103112.64744956556</v>
      </c>
      <c r="H30" s="65">
        <f t="shared" si="10"/>
        <v>83074.789682021685</v>
      </c>
      <c r="I30" s="65">
        <f t="shared" si="10"/>
        <v>102493.81046106068</v>
      </c>
      <c r="J30" s="65">
        <f t="shared" si="10"/>
        <v>552249.2582726517</v>
      </c>
      <c r="K30" s="65">
        <f t="shared" si="10"/>
        <v>1612118.5093140996</v>
      </c>
    </row>
    <row r="31" spans="1:12" x14ac:dyDescent="0.3">
      <c r="A31" s="65" t="s">
        <v>195</v>
      </c>
      <c r="B31" s="65">
        <f>0.083-(0.422/(B27^1.6))</f>
        <v>-0.10768003342568726</v>
      </c>
      <c r="C31" s="65">
        <f t="shared" ref="C31:K31" si="11">0.083-(0.422/(C27^1.6))</f>
        <v>7.1304484767486145E-2</v>
      </c>
      <c r="D31" s="65">
        <f t="shared" si="11"/>
        <v>-1.2655826143163549</v>
      </c>
      <c r="E31" s="65">
        <f t="shared" si="11"/>
        <v>-2.4089910303560308E-2</v>
      </c>
      <c r="F31" s="65">
        <f t="shared" si="11"/>
        <v>-0.31986850863476513</v>
      </c>
      <c r="G31" s="65">
        <f t="shared" si="11"/>
        <v>-4.8223425018323565E-2</v>
      </c>
      <c r="H31" s="65">
        <f t="shared" si="11"/>
        <v>-1.5458388627172026E-2</v>
      </c>
      <c r="I31" s="65">
        <f t="shared" si="11"/>
        <v>-5.3409233517367496E-2</v>
      </c>
      <c r="J31" s="65">
        <f t="shared" si="11"/>
        <v>-0.55787950632114214</v>
      </c>
      <c r="K31" s="65">
        <f t="shared" si="11"/>
        <v>-0.84544108035228482</v>
      </c>
    </row>
    <row r="32" spans="1:12" x14ac:dyDescent="0.3">
      <c r="A32" s="65" t="s">
        <v>196</v>
      </c>
      <c r="B32" s="65">
        <f>0.139-(0.172/(B27^4.2))</f>
        <v>0.1176260659994928</v>
      </c>
      <c r="C32" s="65">
        <f t="shared" ref="C32:K32" si="12">0.139-(0.172/(C27^4.2))</f>
        <v>0.13898595136658157</v>
      </c>
      <c r="D32" s="65">
        <f t="shared" si="12"/>
        <v>-3.4918796090570705</v>
      </c>
      <c r="E32" s="65">
        <f t="shared" si="12"/>
        <v>0.13429918435497495</v>
      </c>
      <c r="F32" s="65">
        <f t="shared" si="12"/>
        <v>-1.3277935536520874E-2</v>
      </c>
      <c r="G32" s="65">
        <f t="shared" si="12"/>
        <v>0.13098574592677217</v>
      </c>
      <c r="H32" s="65">
        <f t="shared" si="12"/>
        <v>0.13522973685178635</v>
      </c>
      <c r="I32" s="65">
        <f t="shared" si="12"/>
        <v>0.13012745612148471</v>
      </c>
      <c r="J32" s="65">
        <f t="shared" si="12"/>
        <v>-0.37607594929480981</v>
      </c>
      <c r="K32" s="65">
        <f t="shared" si="12"/>
        <v>-1.223819776896151</v>
      </c>
    </row>
    <row r="33" spans="1:11" x14ac:dyDescent="0.3">
      <c r="A33" s="65" t="s">
        <v>197</v>
      </c>
      <c r="B33" s="65">
        <f>B31+(B24*B32)</f>
        <v>-0.10638614669969283</v>
      </c>
      <c r="C33" s="65">
        <f t="shared" ref="C33:K33" si="13">C31+(C24*C32)</f>
        <v>4.0727575466838202E-2</v>
      </c>
      <c r="D33" s="65">
        <f t="shared" si="13"/>
        <v>-2.4667891998319869</v>
      </c>
      <c r="E33" s="65">
        <f t="shared" si="13"/>
        <v>-1.522616413613196E-2</v>
      </c>
      <c r="F33" s="65">
        <f t="shared" si="13"/>
        <v>-0.3228958779370919</v>
      </c>
      <c r="G33" s="65">
        <f t="shared" si="13"/>
        <v>-4.8747368002030653E-2</v>
      </c>
      <c r="H33" s="65">
        <f t="shared" si="13"/>
        <v>-1.0049199153100572E-2</v>
      </c>
      <c r="I33" s="65">
        <f t="shared" si="13"/>
        <v>-5.0546429482694832E-2</v>
      </c>
      <c r="J33" s="65">
        <f t="shared" si="13"/>
        <v>-0.65265064554343422</v>
      </c>
      <c r="K33" s="65">
        <f t="shared" si="13"/>
        <v>-1.5381230740755063</v>
      </c>
    </row>
    <row r="35" spans="1:11" x14ac:dyDescent="0.3">
      <c r="A35" s="77" t="s">
        <v>11</v>
      </c>
      <c r="B35" s="77"/>
      <c r="C35" s="77"/>
      <c r="D35" s="77"/>
      <c r="E35" s="77"/>
      <c r="F35" s="77"/>
      <c r="G35" s="77"/>
      <c r="H35" s="77"/>
      <c r="I35" s="77"/>
    </row>
    <row r="36" spans="1:11" x14ac:dyDescent="0.3">
      <c r="A36" s="69"/>
      <c r="B36" s="70" t="s">
        <v>3</v>
      </c>
      <c r="C36" s="70" t="s">
        <v>4</v>
      </c>
      <c r="D36" s="70" t="s">
        <v>5</v>
      </c>
      <c r="E36" s="70" t="s">
        <v>6</v>
      </c>
      <c r="F36" s="70" t="s">
        <v>7</v>
      </c>
      <c r="G36" s="70" t="s">
        <v>8</v>
      </c>
      <c r="H36" s="70" t="s">
        <v>9</v>
      </c>
      <c r="I36" s="70" t="s">
        <v>10</v>
      </c>
      <c r="J36" s="70" t="s">
        <v>19</v>
      </c>
      <c r="K36" s="70" t="s">
        <v>20</v>
      </c>
    </row>
    <row r="37" spans="1:11" x14ac:dyDescent="0.3">
      <c r="A37" s="71" t="s">
        <v>3</v>
      </c>
      <c r="B37" s="72">
        <v>0</v>
      </c>
      <c r="C37" s="72">
        <v>0.202000007033348</v>
      </c>
      <c r="D37" s="72">
        <v>0.5</v>
      </c>
      <c r="E37" s="73">
        <v>2.09970008581877E-2</v>
      </c>
      <c r="F37" s="72">
        <v>0.10000000149011599</v>
      </c>
      <c r="G37" s="73">
        <v>2.3000000044703501E-2</v>
      </c>
      <c r="H37" s="73">
        <v>3.5999000072479199E-2</v>
      </c>
      <c r="I37" s="72">
        <v>0</v>
      </c>
      <c r="J37" s="72">
        <v>0</v>
      </c>
      <c r="K37" s="73">
        <v>-3.5000000149011598E-2</v>
      </c>
    </row>
    <row r="38" spans="1:11" x14ac:dyDescent="0.3">
      <c r="A38" s="71" t="s">
        <v>4</v>
      </c>
      <c r="B38" s="72">
        <v>0.202000007033348</v>
      </c>
      <c r="C38" s="72">
        <v>0</v>
      </c>
      <c r="D38" s="72">
        <v>-0.29980000853538502</v>
      </c>
      <c r="E38" s="73">
        <v>2.5296000763773901E-2</v>
      </c>
      <c r="F38" s="72">
        <v>0.120200000703335</v>
      </c>
      <c r="G38" s="72">
        <v>0</v>
      </c>
      <c r="H38" s="73">
        <v>-3.5999000072479199E-2</v>
      </c>
      <c r="I38" s="72">
        <v>0</v>
      </c>
      <c r="J38" s="72">
        <v>0</v>
      </c>
      <c r="K38" s="72">
        <v>0</v>
      </c>
    </row>
    <row r="39" spans="1:11" x14ac:dyDescent="0.3">
      <c r="A39" s="71" t="s">
        <v>5</v>
      </c>
      <c r="B39" s="72">
        <v>0.5</v>
      </c>
      <c r="C39" s="72">
        <v>-0.29980000853538502</v>
      </c>
      <c r="D39" s="72">
        <v>0</v>
      </c>
      <c r="E39" s="72">
        <v>-0.38960000872612</v>
      </c>
      <c r="F39" s="73">
        <v>4.4500000774860403E-2</v>
      </c>
      <c r="G39" s="72">
        <v>0.5</v>
      </c>
      <c r="H39" s="72">
        <v>-0.31560000777244601</v>
      </c>
      <c r="I39" s="72">
        <v>0</v>
      </c>
      <c r="J39" s="72">
        <v>-0.25330001115799</v>
      </c>
      <c r="K39" s="72">
        <v>-0.18000000715255701</v>
      </c>
    </row>
    <row r="40" spans="1:11" x14ac:dyDescent="0.3">
      <c r="A40" s="71" t="s">
        <v>6</v>
      </c>
      <c r="B40" s="73">
        <v>2.09970008581877E-2</v>
      </c>
      <c r="C40" s="73">
        <v>2.5296000763773901E-2</v>
      </c>
      <c r="D40" s="72">
        <v>-0.38960000872612</v>
      </c>
      <c r="E40" s="72">
        <v>0</v>
      </c>
      <c r="F40" s="73">
        <v>-3.1399000436067602E-2</v>
      </c>
      <c r="G40" s="72">
        <v>0</v>
      </c>
      <c r="H40" s="73">
        <v>1.15000000223517E-2</v>
      </c>
      <c r="I40" s="72">
        <v>0</v>
      </c>
      <c r="J40" s="72">
        <v>0</v>
      </c>
      <c r="K40" s="72">
        <v>0</v>
      </c>
    </row>
    <row r="41" spans="1:11" x14ac:dyDescent="0.3">
      <c r="A41" s="71" t="s">
        <v>7</v>
      </c>
      <c r="B41" s="72">
        <v>0.10000000149011599</v>
      </c>
      <c r="C41" s="72">
        <v>0.120200000703335</v>
      </c>
      <c r="D41" s="73">
        <v>4.4500000774860403E-2</v>
      </c>
      <c r="E41" s="73">
        <v>-3.1399000436067602E-2</v>
      </c>
      <c r="F41" s="72">
        <v>0</v>
      </c>
      <c r="G41" s="72">
        <v>0</v>
      </c>
      <c r="H41" s="73">
        <v>-1.9997000694274899E-2</v>
      </c>
      <c r="I41" s="73">
        <v>9.7497001290321406E-2</v>
      </c>
      <c r="J41" s="72">
        <v>0</v>
      </c>
      <c r="K41" s="73">
        <v>3.9999000728130299E-2</v>
      </c>
    </row>
    <row r="42" spans="1:11" x14ac:dyDescent="0.3">
      <c r="A42" s="71" t="s">
        <v>8</v>
      </c>
      <c r="B42" s="73">
        <v>2.3000000044703501E-2</v>
      </c>
      <c r="C42" s="72">
        <v>0</v>
      </c>
      <c r="D42" s="72">
        <v>0.5</v>
      </c>
      <c r="E42" s="72">
        <v>0</v>
      </c>
      <c r="F42" s="72">
        <v>0</v>
      </c>
      <c r="G42" s="72">
        <v>0</v>
      </c>
      <c r="H42" s="72">
        <v>0</v>
      </c>
      <c r="I42" s="73">
        <v>1.0400000028312199E-2</v>
      </c>
      <c r="J42" s="72">
        <v>-0.18000000715255701</v>
      </c>
      <c r="K42" s="72">
        <v>0</v>
      </c>
    </row>
    <row r="43" spans="1:11" x14ac:dyDescent="0.3">
      <c r="A43" s="71" t="s">
        <v>9</v>
      </c>
      <c r="B43" s="73">
        <v>3.5999000072479199E-2</v>
      </c>
      <c r="C43" s="73">
        <v>-3.5999000072479199E-2</v>
      </c>
      <c r="D43" s="72">
        <v>-0.31560000777244601</v>
      </c>
      <c r="E43" s="73">
        <v>1.15000000223517E-2</v>
      </c>
      <c r="F43" s="73">
        <v>-1.9997000694274899E-2</v>
      </c>
      <c r="G43" s="72">
        <v>0</v>
      </c>
      <c r="H43" s="72">
        <v>0</v>
      </c>
      <c r="I43" s="73">
        <v>-1.2000000104308101E-2</v>
      </c>
      <c r="J43" s="72">
        <v>0.222000002861023</v>
      </c>
      <c r="K43" s="72">
        <v>-0.21410000324249301</v>
      </c>
    </row>
    <row r="44" spans="1:11" x14ac:dyDescent="0.3">
      <c r="A44" s="71" t="s">
        <v>10</v>
      </c>
      <c r="B44" s="72">
        <v>0</v>
      </c>
      <c r="C44" s="72">
        <v>0</v>
      </c>
      <c r="D44" s="72">
        <v>0</v>
      </c>
      <c r="E44" s="72">
        <v>0</v>
      </c>
      <c r="F44" s="73">
        <v>9.7497001290321406E-2</v>
      </c>
      <c r="G44" s="73">
        <v>1.0400000028312199E-2</v>
      </c>
      <c r="H44" s="73">
        <v>-1.2000000104308101E-2</v>
      </c>
      <c r="I44" s="72">
        <v>0</v>
      </c>
      <c r="J44" s="72">
        <v>0</v>
      </c>
      <c r="K44" s="72">
        <v>0</v>
      </c>
    </row>
    <row r="45" spans="1:11" x14ac:dyDescent="0.3">
      <c r="A45" s="71" t="s">
        <v>19</v>
      </c>
      <c r="B45" s="72">
        <v>0</v>
      </c>
      <c r="C45" s="72">
        <v>0</v>
      </c>
      <c r="D45" s="72">
        <v>-0.25330001115799</v>
      </c>
      <c r="E45" s="72">
        <v>0</v>
      </c>
      <c r="F45" s="72">
        <v>0</v>
      </c>
      <c r="G45" s="72">
        <v>-0.18000000715255701</v>
      </c>
      <c r="H45" s="72">
        <v>0.222000002861023</v>
      </c>
      <c r="I45" s="72">
        <v>0</v>
      </c>
      <c r="J45" s="72">
        <v>0</v>
      </c>
      <c r="K45" s="72">
        <v>0</v>
      </c>
    </row>
    <row r="46" spans="1:11" x14ac:dyDescent="0.3">
      <c r="A46" s="71" t="s">
        <v>20</v>
      </c>
      <c r="B46" s="73">
        <v>-3.5000000149011598E-2</v>
      </c>
      <c r="C46" s="72">
        <v>0</v>
      </c>
      <c r="D46" s="72">
        <v>-0.18000000715255701</v>
      </c>
      <c r="E46" s="72">
        <v>0</v>
      </c>
      <c r="F46" s="73">
        <v>3.9999000728130299E-2</v>
      </c>
      <c r="G46" s="72">
        <v>0</v>
      </c>
      <c r="H46" s="72">
        <v>-0.21410000324249301</v>
      </c>
      <c r="I46" s="72">
        <v>0</v>
      </c>
      <c r="J46" s="72">
        <v>0</v>
      </c>
      <c r="K46" s="72">
        <v>0</v>
      </c>
    </row>
    <row r="50" spans="1:11" ht="15.6" x14ac:dyDescent="0.35">
      <c r="A50" s="9" t="s">
        <v>126</v>
      </c>
    </row>
    <row r="51" spans="1:11" x14ac:dyDescent="0.3">
      <c r="A51" s="7" t="s">
        <v>127</v>
      </c>
      <c r="B51" s="24">
        <v>1</v>
      </c>
      <c r="C51" s="24">
        <v>2</v>
      </c>
      <c r="D51" s="24">
        <v>3</v>
      </c>
      <c r="E51" s="24">
        <v>4</v>
      </c>
      <c r="F51" s="24">
        <v>5</v>
      </c>
      <c r="G51" s="24">
        <v>6</v>
      </c>
      <c r="H51" s="24">
        <v>7</v>
      </c>
      <c r="I51" s="24">
        <v>8</v>
      </c>
      <c r="J51" s="24">
        <v>9</v>
      </c>
      <c r="K51" s="24">
        <v>10</v>
      </c>
    </row>
    <row r="52" spans="1:11" x14ac:dyDescent="0.3">
      <c r="A52" s="23">
        <v>1</v>
      </c>
      <c r="B52" s="65">
        <f>B37</f>
        <v>0</v>
      </c>
      <c r="C52" s="65">
        <f t="shared" ref="C52:K61" si="14">C37</f>
        <v>0.202000007033348</v>
      </c>
      <c r="D52" s="65">
        <f t="shared" si="14"/>
        <v>0.5</v>
      </c>
      <c r="E52" s="65">
        <f t="shared" si="14"/>
        <v>2.09970008581877E-2</v>
      </c>
      <c r="F52" s="65">
        <f t="shared" si="14"/>
        <v>0.10000000149011599</v>
      </c>
      <c r="G52" s="65">
        <f t="shared" si="14"/>
        <v>2.3000000044703501E-2</v>
      </c>
      <c r="H52" s="65">
        <f t="shared" si="14"/>
        <v>3.5999000072479199E-2</v>
      </c>
      <c r="I52" s="65">
        <f t="shared" si="14"/>
        <v>0</v>
      </c>
      <c r="J52" s="65">
        <f t="shared" si="14"/>
        <v>0</v>
      </c>
      <c r="K52" s="65">
        <f t="shared" si="14"/>
        <v>-3.5000000149011598E-2</v>
      </c>
    </row>
    <row r="53" spans="1:11" x14ac:dyDescent="0.3">
      <c r="A53" s="23">
        <v>2</v>
      </c>
      <c r="B53" s="5">
        <f>B38</f>
        <v>0.202000007033348</v>
      </c>
      <c r="C53" s="5">
        <f t="shared" si="14"/>
        <v>0</v>
      </c>
      <c r="D53" s="5">
        <f t="shared" si="14"/>
        <v>-0.29980000853538502</v>
      </c>
      <c r="E53" s="5">
        <f t="shared" si="14"/>
        <v>2.5296000763773901E-2</v>
      </c>
      <c r="F53" s="5">
        <f t="shared" si="14"/>
        <v>0.120200000703335</v>
      </c>
      <c r="G53" s="5">
        <f t="shared" si="14"/>
        <v>0</v>
      </c>
      <c r="H53" s="5">
        <f t="shared" si="14"/>
        <v>-3.5999000072479199E-2</v>
      </c>
      <c r="I53" s="5">
        <f t="shared" si="14"/>
        <v>0</v>
      </c>
      <c r="J53" s="5">
        <f t="shared" si="14"/>
        <v>0</v>
      </c>
      <c r="K53" s="5">
        <f t="shared" si="14"/>
        <v>0</v>
      </c>
    </row>
    <row r="54" spans="1:11" x14ac:dyDescent="0.3">
      <c r="A54" s="23">
        <v>3</v>
      </c>
      <c r="B54" s="65">
        <f t="shared" ref="B54:D61" si="15">B39</f>
        <v>0.5</v>
      </c>
      <c r="C54" s="65">
        <f t="shared" si="15"/>
        <v>-0.29980000853538502</v>
      </c>
      <c r="D54" s="65">
        <f t="shared" si="15"/>
        <v>0</v>
      </c>
      <c r="E54" s="65">
        <f t="shared" si="14"/>
        <v>-0.38960000872612</v>
      </c>
      <c r="F54" s="65">
        <f t="shared" si="14"/>
        <v>4.4500000774860403E-2</v>
      </c>
      <c r="G54" s="65">
        <f t="shared" si="14"/>
        <v>0.5</v>
      </c>
      <c r="H54" s="65">
        <f t="shared" si="14"/>
        <v>-0.31560000777244601</v>
      </c>
      <c r="I54" s="65">
        <f t="shared" si="14"/>
        <v>0</v>
      </c>
      <c r="J54" s="65">
        <f t="shared" si="14"/>
        <v>-0.25330001115799</v>
      </c>
      <c r="K54" s="65">
        <f t="shared" si="14"/>
        <v>-0.18000000715255701</v>
      </c>
    </row>
    <row r="55" spans="1:11" x14ac:dyDescent="0.3">
      <c r="A55" s="23">
        <v>4</v>
      </c>
      <c r="B55" s="5">
        <f t="shared" si="15"/>
        <v>2.09970008581877E-2</v>
      </c>
      <c r="C55" s="5">
        <f t="shared" si="15"/>
        <v>2.5296000763773901E-2</v>
      </c>
      <c r="D55" s="5">
        <f t="shared" si="15"/>
        <v>-0.38960000872612</v>
      </c>
      <c r="E55" s="5">
        <f t="shared" si="14"/>
        <v>0</v>
      </c>
      <c r="F55" s="5">
        <f t="shared" si="14"/>
        <v>-3.1399000436067602E-2</v>
      </c>
      <c r="G55" s="5">
        <f t="shared" si="14"/>
        <v>0</v>
      </c>
      <c r="H55" s="5">
        <f t="shared" si="14"/>
        <v>1.15000000223517E-2</v>
      </c>
      <c r="I55" s="5">
        <f t="shared" si="14"/>
        <v>0</v>
      </c>
      <c r="J55" s="5">
        <f t="shared" si="14"/>
        <v>0</v>
      </c>
      <c r="K55" s="5">
        <f t="shared" si="14"/>
        <v>0</v>
      </c>
    </row>
    <row r="56" spans="1:11" x14ac:dyDescent="0.3">
      <c r="A56" s="23">
        <v>5</v>
      </c>
      <c r="B56" s="65">
        <f t="shared" si="15"/>
        <v>0.10000000149011599</v>
      </c>
      <c r="C56" s="65">
        <f t="shared" si="15"/>
        <v>0.120200000703335</v>
      </c>
      <c r="D56" s="65">
        <f t="shared" si="15"/>
        <v>4.4500000774860403E-2</v>
      </c>
      <c r="E56" s="65">
        <f t="shared" si="14"/>
        <v>-3.1399000436067602E-2</v>
      </c>
      <c r="F56" s="65">
        <f t="shared" si="14"/>
        <v>0</v>
      </c>
      <c r="G56" s="65">
        <f t="shared" si="14"/>
        <v>0</v>
      </c>
      <c r="H56" s="65">
        <f t="shared" si="14"/>
        <v>-1.9997000694274899E-2</v>
      </c>
      <c r="I56" s="65">
        <f t="shared" si="14"/>
        <v>9.7497001290321406E-2</v>
      </c>
      <c r="J56" s="65">
        <f t="shared" si="14"/>
        <v>0</v>
      </c>
      <c r="K56" s="65">
        <f t="shared" si="14"/>
        <v>3.9999000728130299E-2</v>
      </c>
    </row>
    <row r="57" spans="1:11" x14ac:dyDescent="0.3">
      <c r="A57" s="23">
        <v>6</v>
      </c>
      <c r="B57" s="5">
        <f t="shared" si="15"/>
        <v>2.3000000044703501E-2</v>
      </c>
      <c r="C57" s="5">
        <f t="shared" si="15"/>
        <v>0</v>
      </c>
      <c r="D57" s="5">
        <f t="shared" si="15"/>
        <v>0.5</v>
      </c>
      <c r="E57" s="5">
        <f t="shared" si="14"/>
        <v>0</v>
      </c>
      <c r="F57" s="5">
        <f t="shared" si="14"/>
        <v>0</v>
      </c>
      <c r="G57" s="5">
        <f t="shared" si="14"/>
        <v>0</v>
      </c>
      <c r="H57" s="5">
        <f t="shared" si="14"/>
        <v>0</v>
      </c>
      <c r="I57" s="5">
        <f t="shared" si="14"/>
        <v>1.0400000028312199E-2</v>
      </c>
      <c r="J57" s="5">
        <f t="shared" si="14"/>
        <v>-0.18000000715255701</v>
      </c>
      <c r="K57" s="5">
        <f t="shared" si="14"/>
        <v>0</v>
      </c>
    </row>
    <row r="58" spans="1:11" x14ac:dyDescent="0.3">
      <c r="A58" s="23">
        <v>7</v>
      </c>
      <c r="B58" s="65">
        <f t="shared" si="15"/>
        <v>3.5999000072479199E-2</v>
      </c>
      <c r="C58" s="65">
        <f t="shared" si="15"/>
        <v>-3.5999000072479199E-2</v>
      </c>
      <c r="D58" s="65">
        <f t="shared" si="15"/>
        <v>-0.31560000777244601</v>
      </c>
      <c r="E58" s="65">
        <f t="shared" si="14"/>
        <v>1.15000000223517E-2</v>
      </c>
      <c r="F58" s="65">
        <f t="shared" si="14"/>
        <v>-1.9997000694274899E-2</v>
      </c>
      <c r="G58" s="65">
        <f t="shared" si="14"/>
        <v>0</v>
      </c>
      <c r="H58" s="65">
        <f t="shared" si="14"/>
        <v>0</v>
      </c>
      <c r="I58" s="65">
        <f t="shared" si="14"/>
        <v>-1.2000000104308101E-2</v>
      </c>
      <c r="J58" s="65">
        <f t="shared" si="14"/>
        <v>0.222000002861023</v>
      </c>
      <c r="K58" s="65">
        <f t="shared" si="14"/>
        <v>-0.21410000324249301</v>
      </c>
    </row>
    <row r="59" spans="1:11" x14ac:dyDescent="0.3">
      <c r="A59" s="23">
        <v>8</v>
      </c>
      <c r="B59" s="5">
        <f t="shared" si="15"/>
        <v>0</v>
      </c>
      <c r="C59" s="5">
        <f t="shared" si="15"/>
        <v>0</v>
      </c>
      <c r="D59" s="5">
        <f t="shared" si="15"/>
        <v>0</v>
      </c>
      <c r="E59" s="5">
        <f t="shared" si="14"/>
        <v>0</v>
      </c>
      <c r="F59" s="5">
        <f t="shared" si="14"/>
        <v>9.7497001290321406E-2</v>
      </c>
      <c r="G59" s="5">
        <f t="shared" si="14"/>
        <v>1.0400000028312199E-2</v>
      </c>
      <c r="H59" s="5">
        <f t="shared" si="14"/>
        <v>-1.2000000104308101E-2</v>
      </c>
      <c r="I59" s="5">
        <f t="shared" si="14"/>
        <v>0</v>
      </c>
      <c r="J59" s="5">
        <f t="shared" si="14"/>
        <v>0</v>
      </c>
      <c r="K59" s="5">
        <f t="shared" si="14"/>
        <v>0</v>
      </c>
    </row>
    <row r="60" spans="1:11" x14ac:dyDescent="0.3">
      <c r="A60" s="23">
        <v>9</v>
      </c>
      <c r="B60" s="65">
        <f t="shared" si="15"/>
        <v>0</v>
      </c>
      <c r="C60" s="65">
        <f t="shared" si="15"/>
        <v>0</v>
      </c>
      <c r="D60" s="65">
        <f t="shared" si="15"/>
        <v>-0.25330001115799</v>
      </c>
      <c r="E60" s="65">
        <f t="shared" si="14"/>
        <v>0</v>
      </c>
      <c r="F60" s="65">
        <f t="shared" si="14"/>
        <v>0</v>
      </c>
      <c r="G60" s="65">
        <f t="shared" si="14"/>
        <v>-0.18000000715255701</v>
      </c>
      <c r="H60" s="65">
        <f t="shared" si="14"/>
        <v>0.222000002861023</v>
      </c>
      <c r="I60" s="65">
        <f t="shared" si="14"/>
        <v>0</v>
      </c>
      <c r="J60" s="65">
        <f t="shared" si="14"/>
        <v>0</v>
      </c>
      <c r="K60" s="65">
        <f t="shared" si="14"/>
        <v>0</v>
      </c>
    </row>
    <row r="61" spans="1:11" x14ac:dyDescent="0.3">
      <c r="A61" s="23">
        <v>10</v>
      </c>
      <c r="B61" s="5">
        <f t="shared" si="15"/>
        <v>-3.5000000149011598E-2</v>
      </c>
      <c r="C61" s="5">
        <f t="shared" si="15"/>
        <v>0</v>
      </c>
      <c r="D61" s="5">
        <f t="shared" si="15"/>
        <v>-0.18000000715255701</v>
      </c>
      <c r="E61" s="5">
        <f t="shared" si="14"/>
        <v>0</v>
      </c>
      <c r="F61" s="5">
        <f t="shared" si="14"/>
        <v>3.9999000728130299E-2</v>
      </c>
      <c r="G61" s="5">
        <f t="shared" si="14"/>
        <v>0</v>
      </c>
      <c r="H61" s="5">
        <f t="shared" si="14"/>
        <v>-0.21410000324249301</v>
      </c>
      <c r="I61" s="5">
        <f t="shared" si="14"/>
        <v>0</v>
      </c>
      <c r="J61" s="5">
        <f t="shared" si="14"/>
        <v>0</v>
      </c>
      <c r="K61" s="5">
        <f t="shared" si="14"/>
        <v>0</v>
      </c>
    </row>
    <row r="69" spans="1:11" ht="15.6" x14ac:dyDescent="0.35">
      <c r="A69" s="26" t="s">
        <v>129</v>
      </c>
    </row>
    <row r="70" spans="1:11" ht="15.6" x14ac:dyDescent="0.35">
      <c r="A70" s="12" t="s">
        <v>130</v>
      </c>
      <c r="B70" s="28">
        <f t="shared" ref="B70:K70" si="16">B30</f>
        <v>197574.58752899244</v>
      </c>
      <c r="C70" s="28">
        <f t="shared" si="16"/>
        <v>24594.046219636053</v>
      </c>
      <c r="D70" s="28">
        <f t="shared" si="16"/>
        <v>962538.09973059187</v>
      </c>
      <c r="E70" s="28">
        <f t="shared" si="16"/>
        <v>88731.564048529661</v>
      </c>
      <c r="F70" s="28">
        <f t="shared" si="16"/>
        <v>388034.76050822582</v>
      </c>
      <c r="G70" s="28">
        <f t="shared" si="16"/>
        <v>103112.64744956556</v>
      </c>
      <c r="H70" s="28">
        <f t="shared" si="16"/>
        <v>83074.789682021685</v>
      </c>
      <c r="I70" s="28">
        <f t="shared" si="16"/>
        <v>102493.81046106068</v>
      </c>
      <c r="J70" s="28">
        <f t="shared" si="16"/>
        <v>552249.2582726517</v>
      </c>
      <c r="K70" s="28">
        <f t="shared" si="16"/>
        <v>1612118.5093140996</v>
      </c>
    </row>
    <row r="71" spans="1:11" x14ac:dyDescent="0.3">
      <c r="A71" s="27">
        <f>B30</f>
        <v>197574.58752899244</v>
      </c>
      <c r="B71" s="65">
        <f>(SQRT(B$70*$A71)*(1-B52))</f>
        <v>197574.58752899244</v>
      </c>
      <c r="C71" s="5">
        <f>(SQRT(C$70*$A71)*(1-C52))</f>
        <v>55626.716052429801</v>
      </c>
      <c r="D71" s="65">
        <f t="shared" ref="D71:K72" si="17">(SQRT(D$70*$A71)*(1-D52))</f>
        <v>218044.18590919359</v>
      </c>
      <c r="E71" s="65">
        <f t="shared" si="17"/>
        <v>129624.95917491095</v>
      </c>
      <c r="F71" s="65">
        <f t="shared" si="17"/>
        <v>249197.31955895675</v>
      </c>
      <c r="G71" s="65">
        <f t="shared" si="17"/>
        <v>139449.21521085035</v>
      </c>
      <c r="H71" s="65">
        <f t="shared" si="17"/>
        <v>123503.04107998354</v>
      </c>
      <c r="I71" s="65">
        <f t="shared" si="17"/>
        <v>142303.10019855082</v>
      </c>
      <c r="J71" s="65">
        <f t="shared" si="17"/>
        <v>330318.6634394296</v>
      </c>
      <c r="K71" s="65">
        <f t="shared" si="17"/>
        <v>584123.09003436437</v>
      </c>
    </row>
    <row r="72" spans="1:11" x14ac:dyDescent="0.3">
      <c r="A72" s="27">
        <f>C30</f>
        <v>24594.046219636053</v>
      </c>
      <c r="B72" s="65">
        <f>(SQRT(B$70*$A72)*(1-B53))</f>
        <v>55626.716052429801</v>
      </c>
      <c r="C72" s="5">
        <f>(SQRT(C$70*$A72)*(1-C53))</f>
        <v>24594.046219636053</v>
      </c>
      <c r="D72" s="65">
        <f t="shared" si="17"/>
        <v>199986.41371764563</v>
      </c>
      <c r="E72" s="65">
        <f t="shared" si="17"/>
        <v>45533.056984507413</v>
      </c>
      <c r="F72" s="65">
        <f t="shared" si="17"/>
        <v>85947.701264100237</v>
      </c>
      <c r="G72" s="65">
        <f t="shared" si="17"/>
        <v>50358.288465789352</v>
      </c>
      <c r="H72" s="65">
        <f t="shared" si="17"/>
        <v>46828.360593476398</v>
      </c>
      <c r="I72" s="65">
        <f t="shared" si="17"/>
        <v>50206.946847084255</v>
      </c>
      <c r="J72" s="65">
        <f t="shared" si="17"/>
        <v>116542.02582209271</v>
      </c>
      <c r="K72" s="65">
        <f t="shared" si="17"/>
        <v>199119.35398047508</v>
      </c>
    </row>
    <row r="73" spans="1:11" x14ac:dyDescent="0.3">
      <c r="A73" s="27">
        <f>D30</f>
        <v>962538.09973059187</v>
      </c>
      <c r="B73" s="65">
        <f t="shared" ref="B73:K80" si="18">(SQRT(B$70*$A73)*(1-B54))</f>
        <v>218044.18590919359</v>
      </c>
      <c r="C73" s="65">
        <f t="shared" si="18"/>
        <v>199986.41371764563</v>
      </c>
      <c r="D73" s="65">
        <f t="shared" si="18"/>
        <v>962538.09973059187</v>
      </c>
      <c r="E73" s="65">
        <f t="shared" si="18"/>
        <v>406104.53663434816</v>
      </c>
      <c r="F73" s="65">
        <f t="shared" si="18"/>
        <v>583949.0704658234</v>
      </c>
      <c r="G73" s="65">
        <f t="shared" si="18"/>
        <v>157519.72236381646</v>
      </c>
      <c r="H73" s="65">
        <f t="shared" si="18"/>
        <v>372021.0011130232</v>
      </c>
      <c r="I73" s="65">
        <f t="shared" si="18"/>
        <v>314092.65759539302</v>
      </c>
      <c r="J73" s="65">
        <f t="shared" si="18"/>
        <v>913758.81300651352</v>
      </c>
      <c r="K73" s="65">
        <f t="shared" si="18"/>
        <v>1469905.641049725</v>
      </c>
    </row>
    <row r="74" spans="1:11" x14ac:dyDescent="0.3">
      <c r="A74" s="27">
        <f>E30</f>
        <v>88731.564048529661</v>
      </c>
      <c r="B74" s="65">
        <f t="shared" si="18"/>
        <v>129624.95917491095</v>
      </c>
      <c r="C74" s="65">
        <f t="shared" si="18"/>
        <v>45533.056984507413</v>
      </c>
      <c r="D74" s="65">
        <f t="shared" si="18"/>
        <v>406104.53663434816</v>
      </c>
      <c r="E74" s="65">
        <f t="shared" si="18"/>
        <v>88731.564048529661</v>
      </c>
      <c r="F74" s="65">
        <f t="shared" si="18"/>
        <v>191382.00075394512</v>
      </c>
      <c r="G74" s="65">
        <f t="shared" si="18"/>
        <v>95652.216291022676</v>
      </c>
      <c r="H74" s="65">
        <f t="shared" si="18"/>
        <v>84869.250582895518</v>
      </c>
      <c r="I74" s="65">
        <f t="shared" si="18"/>
        <v>95364.75296200093</v>
      </c>
      <c r="J74" s="65">
        <f t="shared" si="18"/>
        <v>221363.81915564431</v>
      </c>
      <c r="K74" s="65">
        <f t="shared" si="18"/>
        <v>378213.95633030811</v>
      </c>
    </row>
    <row r="75" spans="1:11" x14ac:dyDescent="0.3">
      <c r="A75" s="27">
        <f>F30</f>
        <v>388034.76050822582</v>
      </c>
      <c r="B75" s="65">
        <f t="shared" si="18"/>
        <v>249197.31955895675</v>
      </c>
      <c r="C75" s="65">
        <f t="shared" si="18"/>
        <v>85947.701264100237</v>
      </c>
      <c r="D75" s="65">
        <f t="shared" si="18"/>
        <v>583949.0704658234</v>
      </c>
      <c r="E75" s="65">
        <f t="shared" si="18"/>
        <v>191382.00075394512</v>
      </c>
      <c r="F75" s="65">
        <f t="shared" si="18"/>
        <v>388034.76050822582</v>
      </c>
      <c r="G75" s="65">
        <f t="shared" si="18"/>
        <v>200028.22665429322</v>
      </c>
      <c r="H75" s="65">
        <f t="shared" si="18"/>
        <v>183133.9386567226</v>
      </c>
      <c r="I75" s="65">
        <f t="shared" si="18"/>
        <v>179983.53989276596</v>
      </c>
      <c r="J75" s="65">
        <f t="shared" si="18"/>
        <v>462916.74054269603</v>
      </c>
      <c r="K75" s="65">
        <f t="shared" si="18"/>
        <v>759286.15892016015</v>
      </c>
    </row>
    <row r="76" spans="1:11" x14ac:dyDescent="0.3">
      <c r="A76" s="27">
        <f>G30</f>
        <v>103112.64744956556</v>
      </c>
      <c r="B76" s="65">
        <f t="shared" si="18"/>
        <v>139449.21521085035</v>
      </c>
      <c r="C76" s="65">
        <f t="shared" si="18"/>
        <v>50358.288465789352</v>
      </c>
      <c r="D76" s="65">
        <f t="shared" si="18"/>
        <v>157519.72236381646</v>
      </c>
      <c r="E76" s="65">
        <f t="shared" si="18"/>
        <v>95652.216291022676</v>
      </c>
      <c r="F76" s="65">
        <f t="shared" si="18"/>
        <v>200028.22665429322</v>
      </c>
      <c r="G76" s="65">
        <f t="shared" si="18"/>
        <v>103112.64744956556</v>
      </c>
      <c r="H76" s="65">
        <f t="shared" si="18"/>
        <v>92553.019942242347</v>
      </c>
      <c r="I76" s="65">
        <f t="shared" si="18"/>
        <v>101733.61456703889</v>
      </c>
      <c r="J76" s="65">
        <f t="shared" si="18"/>
        <v>281582.42798767844</v>
      </c>
      <c r="K76" s="65">
        <f t="shared" si="18"/>
        <v>407712.89837068424</v>
      </c>
    </row>
    <row r="77" spans="1:11" x14ac:dyDescent="0.3">
      <c r="A77" s="27">
        <f>H30</f>
        <v>83074.789682021685</v>
      </c>
      <c r="B77" s="65">
        <f t="shared" si="18"/>
        <v>123503.04107998354</v>
      </c>
      <c r="C77" s="65">
        <f t="shared" si="18"/>
        <v>46828.360593476398</v>
      </c>
      <c r="D77" s="65">
        <f t="shared" si="18"/>
        <v>372021.0011130232</v>
      </c>
      <c r="E77" s="65">
        <f t="shared" si="18"/>
        <v>84869.250582895518</v>
      </c>
      <c r="F77" s="65">
        <f t="shared" si="18"/>
        <v>183133.9386567226</v>
      </c>
      <c r="G77" s="65">
        <f t="shared" si="18"/>
        <v>92553.019942242347</v>
      </c>
      <c r="H77" s="65">
        <f t="shared" si="18"/>
        <v>83074.789682021685</v>
      </c>
      <c r="I77" s="65">
        <f t="shared" si="18"/>
        <v>93382.169076099191</v>
      </c>
      <c r="J77" s="65">
        <f t="shared" si="18"/>
        <v>166640.97242259732</v>
      </c>
      <c r="K77" s="65">
        <f t="shared" si="18"/>
        <v>444311.51384499011</v>
      </c>
    </row>
    <row r="78" spans="1:11" x14ac:dyDescent="0.3">
      <c r="A78" s="27">
        <f>I30</f>
        <v>102493.81046106068</v>
      </c>
      <c r="B78" s="65">
        <f t="shared" si="18"/>
        <v>142303.10019855082</v>
      </c>
      <c r="C78" s="65">
        <f t="shared" si="18"/>
        <v>50206.946847084255</v>
      </c>
      <c r="D78" s="65">
        <f t="shared" si="18"/>
        <v>314092.65759539302</v>
      </c>
      <c r="E78" s="65">
        <f t="shared" si="18"/>
        <v>95364.75296200093</v>
      </c>
      <c r="F78" s="65">
        <f t="shared" si="18"/>
        <v>179983.53989276596</v>
      </c>
      <c r="G78" s="65">
        <f t="shared" si="18"/>
        <v>101733.61456703889</v>
      </c>
      <c r="H78" s="65">
        <f t="shared" si="18"/>
        <v>93382.169076099191</v>
      </c>
      <c r="I78" s="65">
        <f t="shared" si="18"/>
        <v>102493.81046106068</v>
      </c>
      <c r="J78" s="65">
        <f t="shared" si="18"/>
        <v>237912.0232452713</v>
      </c>
      <c r="K78" s="65">
        <f t="shared" si="18"/>
        <v>406487.59997619485</v>
      </c>
    </row>
    <row r="79" spans="1:11" x14ac:dyDescent="0.3">
      <c r="A79" s="27">
        <f>J30</f>
        <v>552249.2582726517</v>
      </c>
      <c r="B79" s="65">
        <f t="shared" si="18"/>
        <v>330318.6634394296</v>
      </c>
      <c r="C79" s="65">
        <f t="shared" si="18"/>
        <v>116542.02582209271</v>
      </c>
      <c r="D79" s="65">
        <f t="shared" si="18"/>
        <v>913758.81300651352</v>
      </c>
      <c r="E79" s="65">
        <f t="shared" si="18"/>
        <v>221363.81915564431</v>
      </c>
      <c r="F79" s="65">
        <f t="shared" si="18"/>
        <v>462916.74054269603</v>
      </c>
      <c r="G79" s="65">
        <f t="shared" si="18"/>
        <v>281582.42798767844</v>
      </c>
      <c r="H79" s="65">
        <f t="shared" si="18"/>
        <v>166640.97242259732</v>
      </c>
      <c r="I79" s="65">
        <f t="shared" si="18"/>
        <v>237912.0232452713</v>
      </c>
      <c r="J79" s="65">
        <f t="shared" si="18"/>
        <v>552249.2582726517</v>
      </c>
      <c r="K79" s="65">
        <f t="shared" si="18"/>
        <v>943552.46330891666</v>
      </c>
    </row>
    <row r="80" spans="1:11" x14ac:dyDescent="0.3">
      <c r="A80" s="27">
        <f>K30</f>
        <v>1612118.5093140996</v>
      </c>
      <c r="B80" s="65">
        <f t="shared" si="18"/>
        <v>584123.09003436437</v>
      </c>
      <c r="C80" s="65">
        <f t="shared" si="18"/>
        <v>199119.35398047508</v>
      </c>
      <c r="D80" s="65">
        <f t="shared" si="18"/>
        <v>1469905.641049725</v>
      </c>
      <c r="E80" s="65">
        <f t="shared" si="18"/>
        <v>378213.95633030811</v>
      </c>
      <c r="F80" s="65">
        <f t="shared" si="18"/>
        <v>759286.15892016015</v>
      </c>
      <c r="G80" s="65">
        <f t="shared" si="18"/>
        <v>407712.89837068424</v>
      </c>
      <c r="H80" s="65">
        <f t="shared" si="18"/>
        <v>444311.51384499011</v>
      </c>
      <c r="I80" s="65">
        <f t="shared" si="18"/>
        <v>406487.59997619485</v>
      </c>
      <c r="J80" s="65">
        <f t="shared" si="18"/>
        <v>943552.46330891666</v>
      </c>
      <c r="K80" s="65">
        <f t="shared" si="18"/>
        <v>1612118.5093140996</v>
      </c>
    </row>
    <row r="82" spans="1:11" ht="15.6" x14ac:dyDescent="0.35">
      <c r="A82" s="26" t="s">
        <v>129</v>
      </c>
    </row>
    <row r="83" spans="1:11" ht="15.6" x14ac:dyDescent="0.35">
      <c r="A83" s="12" t="s">
        <v>130</v>
      </c>
      <c r="B83" s="28">
        <f>B33</f>
        <v>-0.10638614669969283</v>
      </c>
      <c r="C83" s="28">
        <f t="shared" ref="C83:K83" si="19">C33</f>
        <v>4.0727575466838202E-2</v>
      </c>
      <c r="D83" s="28">
        <f t="shared" si="19"/>
        <v>-2.4667891998319869</v>
      </c>
      <c r="E83" s="28">
        <f t="shared" si="19"/>
        <v>-1.522616413613196E-2</v>
      </c>
      <c r="F83" s="28">
        <f t="shared" si="19"/>
        <v>-0.3228958779370919</v>
      </c>
      <c r="G83" s="28">
        <f t="shared" si="19"/>
        <v>-4.8747368002030653E-2</v>
      </c>
      <c r="H83" s="28">
        <f t="shared" si="19"/>
        <v>-1.0049199153100572E-2</v>
      </c>
      <c r="I83" s="28">
        <f t="shared" si="19"/>
        <v>-5.0546429482694832E-2</v>
      </c>
      <c r="J83" s="28">
        <f t="shared" si="19"/>
        <v>-0.65265064554343422</v>
      </c>
      <c r="K83" s="28">
        <f t="shared" si="19"/>
        <v>-1.5381230740755063</v>
      </c>
    </row>
    <row r="84" spans="1:11" x14ac:dyDescent="0.3">
      <c r="A84" s="27">
        <f>B33</f>
        <v>-0.10638614669969283</v>
      </c>
      <c r="B84" s="65" t="e">
        <f>(SQRT(B$70*$A84)*(1-B65))</f>
        <v>#NUM!</v>
      </c>
      <c r="C84" s="5" t="e">
        <f>(SQRT(C$70*$A84)*(1-C65))</f>
        <v>#NUM!</v>
      </c>
      <c r="D84" s="65" t="e">
        <f t="shared" ref="D84:K84" si="20">(SQRT(D$70*$A84)*(1-D65))</f>
        <v>#NUM!</v>
      </c>
      <c r="E84" s="65" t="e">
        <f t="shared" si="20"/>
        <v>#NUM!</v>
      </c>
      <c r="F84" s="65" t="e">
        <f t="shared" si="20"/>
        <v>#NUM!</v>
      </c>
      <c r="G84" s="65" t="e">
        <f t="shared" si="20"/>
        <v>#NUM!</v>
      </c>
      <c r="H84" s="65" t="e">
        <f t="shared" si="20"/>
        <v>#NUM!</v>
      </c>
      <c r="I84" s="65" t="e">
        <f t="shared" si="20"/>
        <v>#NUM!</v>
      </c>
      <c r="J84" s="65" t="e">
        <f t="shared" si="20"/>
        <v>#NUM!</v>
      </c>
      <c r="K84" s="65" t="e">
        <f t="shared" si="20"/>
        <v>#NUM!</v>
      </c>
    </row>
    <row r="85" spans="1:11" x14ac:dyDescent="0.3">
      <c r="A85" s="27">
        <f>C33</f>
        <v>4.0727575466838202E-2</v>
      </c>
      <c r="B85" s="65">
        <f>(SQRT(B$70*$A85)*(1-B66))</f>
        <v>89.703589247679886</v>
      </c>
      <c r="C85" s="5">
        <f>(SQRT(C$70*$A85)*(1-C66))</f>
        <v>31.648947430288011</v>
      </c>
      <c r="D85" s="65">
        <f t="shared" ref="D85:K85" si="21">(SQRT(D$70*$A85)*(1-D66))</f>
        <v>197.99455319903302</v>
      </c>
      <c r="E85" s="65">
        <f t="shared" si="21"/>
        <v>60.115068585813653</v>
      </c>
      <c r="F85" s="65">
        <f t="shared" si="21"/>
        <v>125.71282747737104</v>
      </c>
      <c r="G85" s="65">
        <f t="shared" si="21"/>
        <v>64.803766330265574</v>
      </c>
      <c r="H85" s="65">
        <f t="shared" si="21"/>
        <v>58.167299801230669</v>
      </c>
      <c r="I85" s="65">
        <f t="shared" si="21"/>
        <v>64.609011758706387</v>
      </c>
      <c r="J85" s="65">
        <f t="shared" si="21"/>
        <v>149.97257530230266</v>
      </c>
      <c r="K85" s="65">
        <f t="shared" si="21"/>
        <v>256.23754262320091</v>
      </c>
    </row>
    <row r="86" spans="1:11" x14ac:dyDescent="0.3">
      <c r="A86" s="27">
        <f>D33</f>
        <v>-2.4667891998319869</v>
      </c>
      <c r="B86" s="65" t="e">
        <f t="shared" ref="B86:K86" si="22">(SQRT(B$70*$A86)*(1-B67))</f>
        <v>#NUM!</v>
      </c>
      <c r="C86" s="65" t="e">
        <f t="shared" si="22"/>
        <v>#NUM!</v>
      </c>
      <c r="D86" s="65" t="e">
        <f t="shared" si="22"/>
        <v>#NUM!</v>
      </c>
      <c r="E86" s="65" t="e">
        <f t="shared" si="22"/>
        <v>#NUM!</v>
      </c>
      <c r="F86" s="65" t="e">
        <f t="shared" si="22"/>
        <v>#NUM!</v>
      </c>
      <c r="G86" s="65" t="e">
        <f t="shared" si="22"/>
        <v>#NUM!</v>
      </c>
      <c r="H86" s="65" t="e">
        <f t="shared" si="22"/>
        <v>#NUM!</v>
      </c>
      <c r="I86" s="65" t="e">
        <f t="shared" si="22"/>
        <v>#NUM!</v>
      </c>
      <c r="J86" s="65" t="e">
        <f t="shared" si="22"/>
        <v>#NUM!</v>
      </c>
      <c r="K86" s="65" t="e">
        <f t="shared" si="22"/>
        <v>#NUM!</v>
      </c>
    </row>
    <row r="87" spans="1:11" x14ac:dyDescent="0.3">
      <c r="A87" s="27">
        <f>E33</f>
        <v>-1.522616413613196E-2</v>
      </c>
      <c r="B87" s="65" t="e">
        <f t="shared" ref="B87:K87" si="23">(SQRT(B$70*$A87)*(1-B68))</f>
        <v>#NUM!</v>
      </c>
      <c r="C87" s="65" t="e">
        <f t="shared" si="23"/>
        <v>#NUM!</v>
      </c>
      <c r="D87" s="65" t="e">
        <f t="shared" si="23"/>
        <v>#NUM!</v>
      </c>
      <c r="E87" s="65" t="e">
        <f t="shared" si="23"/>
        <v>#NUM!</v>
      </c>
      <c r="F87" s="65" t="e">
        <f t="shared" si="23"/>
        <v>#NUM!</v>
      </c>
      <c r="G87" s="65" t="e">
        <f t="shared" si="23"/>
        <v>#NUM!</v>
      </c>
      <c r="H87" s="65" t="e">
        <f t="shared" si="23"/>
        <v>#NUM!</v>
      </c>
      <c r="I87" s="65" t="e">
        <f t="shared" si="23"/>
        <v>#NUM!</v>
      </c>
      <c r="J87" s="65" t="e">
        <f t="shared" si="23"/>
        <v>#NUM!</v>
      </c>
      <c r="K87" s="65" t="e">
        <f t="shared" si="23"/>
        <v>#NUM!</v>
      </c>
    </row>
    <row r="88" spans="1:11" x14ac:dyDescent="0.3">
      <c r="A88" s="27">
        <f>F33</f>
        <v>-0.3228958779370919</v>
      </c>
      <c r="B88" s="65" t="e">
        <f t="shared" ref="B88:K88" si="24">(SQRT(B$70*$A88)*(1-B69))</f>
        <v>#NUM!</v>
      </c>
      <c r="C88" s="65" t="e">
        <f t="shared" si="24"/>
        <v>#NUM!</v>
      </c>
      <c r="D88" s="65" t="e">
        <f t="shared" si="24"/>
        <v>#NUM!</v>
      </c>
      <c r="E88" s="65" t="e">
        <f t="shared" si="24"/>
        <v>#NUM!</v>
      </c>
      <c r="F88" s="65" t="e">
        <f t="shared" si="24"/>
        <v>#NUM!</v>
      </c>
      <c r="G88" s="65" t="e">
        <f t="shared" si="24"/>
        <v>#NUM!</v>
      </c>
      <c r="H88" s="65" t="e">
        <f t="shared" si="24"/>
        <v>#NUM!</v>
      </c>
      <c r="I88" s="65" t="e">
        <f t="shared" si="24"/>
        <v>#NUM!</v>
      </c>
      <c r="J88" s="65" t="e">
        <f t="shared" si="24"/>
        <v>#NUM!</v>
      </c>
      <c r="K88" s="65" t="e">
        <f t="shared" si="24"/>
        <v>#NUM!</v>
      </c>
    </row>
    <row r="89" spans="1:11" x14ac:dyDescent="0.3">
      <c r="A89" s="27">
        <f>G33</f>
        <v>-4.8747368002030653E-2</v>
      </c>
      <c r="B89" s="65" t="e">
        <f t="shared" ref="B89:K89" si="25">(SQRT(B$70*$A89)*(1-B70))</f>
        <v>#NUM!</v>
      </c>
      <c r="C89" s="65" t="e">
        <f t="shared" si="25"/>
        <v>#NUM!</v>
      </c>
      <c r="D89" s="65" t="e">
        <f t="shared" si="25"/>
        <v>#NUM!</v>
      </c>
      <c r="E89" s="65" t="e">
        <f t="shared" si="25"/>
        <v>#NUM!</v>
      </c>
      <c r="F89" s="65" t="e">
        <f t="shared" si="25"/>
        <v>#NUM!</v>
      </c>
      <c r="G89" s="65" t="e">
        <f t="shared" si="25"/>
        <v>#NUM!</v>
      </c>
      <c r="H89" s="65" t="e">
        <f t="shared" si="25"/>
        <v>#NUM!</v>
      </c>
      <c r="I89" s="65" t="e">
        <f t="shared" si="25"/>
        <v>#NUM!</v>
      </c>
      <c r="J89" s="65" t="e">
        <f t="shared" si="25"/>
        <v>#NUM!</v>
      </c>
      <c r="K89" s="65" t="e">
        <f t="shared" si="25"/>
        <v>#NUM!</v>
      </c>
    </row>
    <row r="90" spans="1:11" x14ac:dyDescent="0.3">
      <c r="A90" s="27">
        <f>H33</f>
        <v>-1.0049199153100572E-2</v>
      </c>
      <c r="B90" s="65" t="e">
        <f t="shared" ref="B90:K90" si="26">(SQRT(B$70*$A90)*(1-B71))</f>
        <v>#NUM!</v>
      </c>
      <c r="C90" s="65" t="e">
        <f t="shared" si="26"/>
        <v>#NUM!</v>
      </c>
      <c r="D90" s="65" t="e">
        <f t="shared" si="26"/>
        <v>#NUM!</v>
      </c>
      <c r="E90" s="65" t="e">
        <f t="shared" si="26"/>
        <v>#NUM!</v>
      </c>
      <c r="F90" s="65" t="e">
        <f t="shared" si="26"/>
        <v>#NUM!</v>
      </c>
      <c r="G90" s="65" t="e">
        <f t="shared" si="26"/>
        <v>#NUM!</v>
      </c>
      <c r="H90" s="65" t="e">
        <f t="shared" si="26"/>
        <v>#NUM!</v>
      </c>
      <c r="I90" s="65" t="e">
        <f t="shared" si="26"/>
        <v>#NUM!</v>
      </c>
      <c r="J90" s="65" t="e">
        <f t="shared" si="26"/>
        <v>#NUM!</v>
      </c>
      <c r="K90" s="65" t="e">
        <f t="shared" si="26"/>
        <v>#NUM!</v>
      </c>
    </row>
    <row r="91" spans="1:11" x14ac:dyDescent="0.3">
      <c r="A91" s="27">
        <f>I33</f>
        <v>-5.0546429482694832E-2</v>
      </c>
      <c r="B91" s="65" t="e">
        <f t="shared" ref="B91:K91" si="27">(SQRT(B$70*$A91)*(1-B72))</f>
        <v>#NUM!</v>
      </c>
      <c r="C91" s="65" t="e">
        <f t="shared" si="27"/>
        <v>#NUM!</v>
      </c>
      <c r="D91" s="65" t="e">
        <f t="shared" si="27"/>
        <v>#NUM!</v>
      </c>
      <c r="E91" s="65" t="e">
        <f t="shared" si="27"/>
        <v>#NUM!</v>
      </c>
      <c r="F91" s="65" t="e">
        <f t="shared" si="27"/>
        <v>#NUM!</v>
      </c>
      <c r="G91" s="65" t="e">
        <f t="shared" si="27"/>
        <v>#NUM!</v>
      </c>
      <c r="H91" s="65" t="e">
        <f t="shared" si="27"/>
        <v>#NUM!</v>
      </c>
      <c r="I91" s="65" t="e">
        <f t="shared" si="27"/>
        <v>#NUM!</v>
      </c>
      <c r="J91" s="65" t="e">
        <f t="shared" si="27"/>
        <v>#NUM!</v>
      </c>
      <c r="K91" s="65" t="e">
        <f t="shared" si="27"/>
        <v>#NUM!</v>
      </c>
    </row>
    <row r="92" spans="1:11" x14ac:dyDescent="0.3">
      <c r="A92" s="27">
        <f>J33</f>
        <v>-0.65265064554343422</v>
      </c>
      <c r="B92" s="65" t="e">
        <f t="shared" ref="B92:K92" si="28">(SQRT(B$70*$A92)*(1-B73))</f>
        <v>#NUM!</v>
      </c>
      <c r="C92" s="65" t="e">
        <f t="shared" si="28"/>
        <v>#NUM!</v>
      </c>
      <c r="D92" s="65" t="e">
        <f t="shared" si="28"/>
        <v>#NUM!</v>
      </c>
      <c r="E92" s="65" t="e">
        <f t="shared" si="28"/>
        <v>#NUM!</v>
      </c>
      <c r="F92" s="65" t="e">
        <f t="shared" si="28"/>
        <v>#NUM!</v>
      </c>
      <c r="G92" s="65" t="e">
        <f t="shared" si="28"/>
        <v>#NUM!</v>
      </c>
      <c r="H92" s="65" t="e">
        <f t="shared" si="28"/>
        <v>#NUM!</v>
      </c>
      <c r="I92" s="65" t="e">
        <f t="shared" si="28"/>
        <v>#NUM!</v>
      </c>
      <c r="J92" s="65" t="e">
        <f t="shared" si="28"/>
        <v>#NUM!</v>
      </c>
      <c r="K92" s="65" t="e">
        <f t="shared" si="28"/>
        <v>#NUM!</v>
      </c>
    </row>
    <row r="93" spans="1:11" x14ac:dyDescent="0.3">
      <c r="A93" s="27">
        <f>K33</f>
        <v>-1.5381230740755063</v>
      </c>
      <c r="B93" s="65" t="e">
        <f t="shared" ref="B93:K93" si="29">(SQRT(B$70*$A93)*(1-B74))</f>
        <v>#NUM!</v>
      </c>
      <c r="C93" s="65" t="e">
        <f t="shared" si="29"/>
        <v>#NUM!</v>
      </c>
      <c r="D93" s="65" t="e">
        <f t="shared" si="29"/>
        <v>#NUM!</v>
      </c>
      <c r="E93" s="65" t="e">
        <f t="shared" si="29"/>
        <v>#NUM!</v>
      </c>
      <c r="F93" s="65" t="e">
        <f t="shared" si="29"/>
        <v>#NUM!</v>
      </c>
      <c r="G93" s="65" t="e">
        <f t="shared" si="29"/>
        <v>#NUM!</v>
      </c>
      <c r="H93" s="65" t="e">
        <f t="shared" si="29"/>
        <v>#NUM!</v>
      </c>
      <c r="I93" s="65" t="e">
        <f t="shared" si="29"/>
        <v>#NUM!</v>
      </c>
      <c r="J93" s="65" t="e">
        <f t="shared" si="29"/>
        <v>#NUM!</v>
      </c>
      <c r="K93" s="65" t="e">
        <f t="shared" si="29"/>
        <v>#NUM!</v>
      </c>
    </row>
    <row r="96" spans="1:11" x14ac:dyDescent="0.3">
      <c r="A96" s="1"/>
      <c r="B96" s="1"/>
      <c r="C96" s="1"/>
      <c r="D96" s="1"/>
      <c r="E96" s="1"/>
      <c r="F96" s="1"/>
      <c r="G96" s="1"/>
    </row>
    <row r="97" spans="1:11" ht="15.6" x14ac:dyDescent="0.35">
      <c r="A97" s="11" t="s">
        <v>131</v>
      </c>
    </row>
    <row r="98" spans="1:11" ht="15.6" x14ac:dyDescent="0.35">
      <c r="A98" s="7" t="s">
        <v>132</v>
      </c>
      <c r="B98" s="24">
        <f t="shared" ref="B98:K98" si="30">B21</f>
        <v>0.3</v>
      </c>
      <c r="C98" s="24">
        <f t="shared" si="30"/>
        <v>0.1</v>
      </c>
      <c r="D98" s="24">
        <f t="shared" si="30"/>
        <v>0.6</v>
      </c>
      <c r="E98" s="24">
        <f t="shared" si="30"/>
        <v>0</v>
      </c>
      <c r="F98" s="24">
        <f t="shared" si="30"/>
        <v>0</v>
      </c>
      <c r="G98" s="24">
        <f t="shared" si="30"/>
        <v>0</v>
      </c>
      <c r="H98" s="24">
        <f t="shared" si="30"/>
        <v>0</v>
      </c>
      <c r="I98" s="24">
        <f t="shared" si="30"/>
        <v>0</v>
      </c>
      <c r="J98" s="24">
        <f t="shared" si="30"/>
        <v>0</v>
      </c>
      <c r="K98" s="24">
        <f t="shared" si="30"/>
        <v>0</v>
      </c>
    </row>
    <row r="99" spans="1:11" x14ac:dyDescent="0.3">
      <c r="A99" s="23">
        <f>B21</f>
        <v>0.3</v>
      </c>
      <c r="B99" s="65">
        <f t="shared" ref="B99:K99" si="31">B$98*$A99*B71</f>
        <v>17781.71287760932</v>
      </c>
      <c r="C99" s="65">
        <f t="shared" si="31"/>
        <v>1668.8014815728941</v>
      </c>
      <c r="D99" s="65">
        <f t="shared" si="31"/>
        <v>39247.953463654841</v>
      </c>
      <c r="E99" s="65">
        <f t="shared" si="31"/>
        <v>0</v>
      </c>
      <c r="F99" s="65">
        <f t="shared" si="31"/>
        <v>0</v>
      </c>
      <c r="G99" s="65">
        <f t="shared" si="31"/>
        <v>0</v>
      </c>
      <c r="H99" s="65">
        <f t="shared" si="31"/>
        <v>0</v>
      </c>
      <c r="I99" s="65">
        <f t="shared" si="31"/>
        <v>0</v>
      </c>
      <c r="J99" s="65">
        <f t="shared" si="31"/>
        <v>0</v>
      </c>
      <c r="K99" s="65">
        <f t="shared" si="31"/>
        <v>0</v>
      </c>
    </row>
    <row r="100" spans="1:11" x14ac:dyDescent="0.3">
      <c r="A100" s="23">
        <f>C21</f>
        <v>0.1</v>
      </c>
      <c r="B100" s="65">
        <f t="shared" ref="B100:K100" si="32">B$98*$A100*B72</f>
        <v>1668.8014815728941</v>
      </c>
      <c r="C100" s="65">
        <f t="shared" si="32"/>
        <v>245.94046219636058</v>
      </c>
      <c r="D100" s="65">
        <f t="shared" si="32"/>
        <v>11999.184823058737</v>
      </c>
      <c r="E100" s="65">
        <f t="shared" si="32"/>
        <v>0</v>
      </c>
      <c r="F100" s="65">
        <f t="shared" si="32"/>
        <v>0</v>
      </c>
      <c r="G100" s="65">
        <f t="shared" si="32"/>
        <v>0</v>
      </c>
      <c r="H100" s="65">
        <f t="shared" si="32"/>
        <v>0</v>
      </c>
      <c r="I100" s="65">
        <f t="shared" si="32"/>
        <v>0</v>
      </c>
      <c r="J100" s="65">
        <f t="shared" si="32"/>
        <v>0</v>
      </c>
      <c r="K100" s="65">
        <f t="shared" si="32"/>
        <v>0</v>
      </c>
    </row>
    <row r="101" spans="1:11" x14ac:dyDescent="0.3">
      <c r="A101" s="23">
        <f>D21</f>
        <v>0.6</v>
      </c>
      <c r="B101" s="65">
        <f t="shared" ref="B101:K101" si="33">B$98*$A101*B73</f>
        <v>39247.953463654841</v>
      </c>
      <c r="C101" s="65">
        <f t="shared" si="33"/>
        <v>11999.184823058737</v>
      </c>
      <c r="D101" s="65">
        <f t="shared" si="33"/>
        <v>346513.71590301307</v>
      </c>
      <c r="E101" s="65">
        <f t="shared" si="33"/>
        <v>0</v>
      </c>
      <c r="F101" s="65">
        <f t="shared" si="33"/>
        <v>0</v>
      </c>
      <c r="G101" s="65">
        <f t="shared" si="33"/>
        <v>0</v>
      </c>
      <c r="H101" s="65">
        <f t="shared" si="33"/>
        <v>0</v>
      </c>
      <c r="I101" s="65">
        <f t="shared" si="33"/>
        <v>0</v>
      </c>
      <c r="J101" s="65">
        <f t="shared" si="33"/>
        <v>0</v>
      </c>
      <c r="K101" s="65">
        <f t="shared" si="33"/>
        <v>0</v>
      </c>
    </row>
    <row r="102" spans="1:11" x14ac:dyDescent="0.3">
      <c r="A102" s="23">
        <f>E21</f>
        <v>0</v>
      </c>
      <c r="B102" s="65">
        <f t="shared" ref="B102:K102" si="34">B$98*$A102*B74</f>
        <v>0</v>
      </c>
      <c r="C102" s="65">
        <f t="shared" si="34"/>
        <v>0</v>
      </c>
      <c r="D102" s="65">
        <f t="shared" si="34"/>
        <v>0</v>
      </c>
      <c r="E102" s="65">
        <f t="shared" si="34"/>
        <v>0</v>
      </c>
      <c r="F102" s="65">
        <f t="shared" si="34"/>
        <v>0</v>
      </c>
      <c r="G102" s="65">
        <f t="shared" si="34"/>
        <v>0</v>
      </c>
      <c r="H102" s="65">
        <f t="shared" si="34"/>
        <v>0</v>
      </c>
      <c r="I102" s="65">
        <f t="shared" si="34"/>
        <v>0</v>
      </c>
      <c r="J102" s="65">
        <f t="shared" si="34"/>
        <v>0</v>
      </c>
      <c r="K102" s="65">
        <f t="shared" si="34"/>
        <v>0</v>
      </c>
    </row>
    <row r="103" spans="1:11" x14ac:dyDescent="0.3">
      <c r="A103" s="23">
        <f>F21</f>
        <v>0</v>
      </c>
      <c r="B103" s="65">
        <f t="shared" ref="B103:K103" si="35">B$98*$A103*B75</f>
        <v>0</v>
      </c>
      <c r="C103" s="65">
        <f t="shared" si="35"/>
        <v>0</v>
      </c>
      <c r="D103" s="65">
        <f t="shared" si="35"/>
        <v>0</v>
      </c>
      <c r="E103" s="65">
        <f t="shared" si="35"/>
        <v>0</v>
      </c>
      <c r="F103" s="65">
        <f t="shared" si="35"/>
        <v>0</v>
      </c>
      <c r="G103" s="65">
        <f t="shared" si="35"/>
        <v>0</v>
      </c>
      <c r="H103" s="65">
        <f t="shared" si="35"/>
        <v>0</v>
      </c>
      <c r="I103" s="65">
        <f t="shared" si="35"/>
        <v>0</v>
      </c>
      <c r="J103" s="65">
        <f t="shared" si="35"/>
        <v>0</v>
      </c>
      <c r="K103" s="65">
        <f t="shared" si="35"/>
        <v>0</v>
      </c>
    </row>
    <row r="104" spans="1:11" x14ac:dyDescent="0.3">
      <c r="A104" s="23">
        <f>G21</f>
        <v>0</v>
      </c>
      <c r="B104" s="65">
        <f t="shared" ref="B104:K104" si="36">B$98*$A104*B76</f>
        <v>0</v>
      </c>
      <c r="C104" s="65">
        <f t="shared" si="36"/>
        <v>0</v>
      </c>
      <c r="D104" s="65">
        <f t="shared" si="36"/>
        <v>0</v>
      </c>
      <c r="E104" s="65">
        <f t="shared" si="36"/>
        <v>0</v>
      </c>
      <c r="F104" s="65">
        <f t="shared" si="36"/>
        <v>0</v>
      </c>
      <c r="G104" s="65">
        <f t="shared" si="36"/>
        <v>0</v>
      </c>
      <c r="H104" s="65">
        <f t="shared" si="36"/>
        <v>0</v>
      </c>
      <c r="I104" s="65">
        <f t="shared" si="36"/>
        <v>0</v>
      </c>
      <c r="J104" s="65">
        <f t="shared" si="36"/>
        <v>0</v>
      </c>
      <c r="K104" s="65">
        <f t="shared" si="36"/>
        <v>0</v>
      </c>
    </row>
    <row r="105" spans="1:11" x14ac:dyDescent="0.3">
      <c r="A105" s="23">
        <f>H21</f>
        <v>0</v>
      </c>
      <c r="B105" s="65">
        <f t="shared" ref="B105:K105" si="37">B$98*$A105*B77</f>
        <v>0</v>
      </c>
      <c r="C105" s="65">
        <f t="shared" si="37"/>
        <v>0</v>
      </c>
      <c r="D105" s="65">
        <f t="shared" si="37"/>
        <v>0</v>
      </c>
      <c r="E105" s="65">
        <f t="shared" si="37"/>
        <v>0</v>
      </c>
      <c r="F105" s="65">
        <f t="shared" si="37"/>
        <v>0</v>
      </c>
      <c r="G105" s="65">
        <f t="shared" si="37"/>
        <v>0</v>
      </c>
      <c r="H105" s="65">
        <f t="shared" si="37"/>
        <v>0</v>
      </c>
      <c r="I105" s="65">
        <f t="shared" si="37"/>
        <v>0</v>
      </c>
      <c r="J105" s="65">
        <f t="shared" si="37"/>
        <v>0</v>
      </c>
      <c r="K105" s="65">
        <f t="shared" si="37"/>
        <v>0</v>
      </c>
    </row>
    <row r="106" spans="1:11" x14ac:dyDescent="0.3">
      <c r="A106" s="23">
        <f>I21</f>
        <v>0</v>
      </c>
      <c r="B106" s="65">
        <f t="shared" ref="B106:K106" si="38">B$98*$A106*B78</f>
        <v>0</v>
      </c>
      <c r="C106" s="65">
        <f t="shared" si="38"/>
        <v>0</v>
      </c>
      <c r="D106" s="65">
        <f t="shared" si="38"/>
        <v>0</v>
      </c>
      <c r="E106" s="65">
        <f t="shared" si="38"/>
        <v>0</v>
      </c>
      <c r="F106" s="65">
        <f t="shared" si="38"/>
        <v>0</v>
      </c>
      <c r="G106" s="65">
        <f t="shared" si="38"/>
        <v>0</v>
      </c>
      <c r="H106" s="65">
        <f t="shared" si="38"/>
        <v>0</v>
      </c>
      <c r="I106" s="65">
        <f t="shared" si="38"/>
        <v>0</v>
      </c>
      <c r="J106" s="65">
        <f t="shared" si="38"/>
        <v>0</v>
      </c>
      <c r="K106" s="65">
        <f t="shared" si="38"/>
        <v>0</v>
      </c>
    </row>
    <row r="107" spans="1:11" x14ac:dyDescent="0.3">
      <c r="A107" s="23">
        <f>J21</f>
        <v>0</v>
      </c>
      <c r="B107" s="65">
        <f t="shared" ref="B107:K107" si="39">B$98*$A107*B79</f>
        <v>0</v>
      </c>
      <c r="C107" s="65">
        <f t="shared" si="39"/>
        <v>0</v>
      </c>
      <c r="D107" s="65">
        <f t="shared" si="39"/>
        <v>0</v>
      </c>
      <c r="E107" s="65">
        <f t="shared" si="39"/>
        <v>0</v>
      </c>
      <c r="F107" s="65">
        <f t="shared" si="39"/>
        <v>0</v>
      </c>
      <c r="G107" s="65">
        <f t="shared" si="39"/>
        <v>0</v>
      </c>
      <c r="H107" s="65">
        <f t="shared" si="39"/>
        <v>0</v>
      </c>
      <c r="I107" s="65">
        <f t="shared" si="39"/>
        <v>0</v>
      </c>
      <c r="J107" s="65">
        <f t="shared" si="39"/>
        <v>0</v>
      </c>
      <c r="K107" s="65">
        <f t="shared" si="39"/>
        <v>0</v>
      </c>
    </row>
    <row r="108" spans="1:11" x14ac:dyDescent="0.3">
      <c r="A108" s="23">
        <f>K21</f>
        <v>0</v>
      </c>
      <c r="B108" s="65">
        <f t="shared" ref="B108:K108" si="40">B$98*$A108*B80</f>
        <v>0</v>
      </c>
      <c r="C108" s="65">
        <f t="shared" si="40"/>
        <v>0</v>
      </c>
      <c r="D108" s="65">
        <f t="shared" si="40"/>
        <v>0</v>
      </c>
      <c r="E108" s="65">
        <f t="shared" si="40"/>
        <v>0</v>
      </c>
      <c r="F108" s="65">
        <f t="shared" si="40"/>
        <v>0</v>
      </c>
      <c r="G108" s="65">
        <f t="shared" si="40"/>
        <v>0</v>
      </c>
      <c r="H108" s="65">
        <f t="shared" si="40"/>
        <v>0</v>
      </c>
      <c r="I108" s="65">
        <f t="shared" si="40"/>
        <v>0</v>
      </c>
      <c r="J108" s="65">
        <f t="shared" si="40"/>
        <v>0</v>
      </c>
      <c r="K108" s="65">
        <f t="shared" si="40"/>
        <v>0</v>
      </c>
    </row>
    <row r="112" spans="1:11" x14ac:dyDescent="0.3">
      <c r="A112" s="65" t="str">
        <f t="shared" ref="A112:K112" si="41">A21</f>
        <v>Mole Fraction, xi</v>
      </c>
      <c r="B112" s="65">
        <f t="shared" si="41"/>
        <v>0.3</v>
      </c>
      <c r="C112" s="65">
        <f t="shared" si="41"/>
        <v>0.1</v>
      </c>
      <c r="D112" s="65">
        <f t="shared" si="41"/>
        <v>0.6</v>
      </c>
      <c r="E112" s="65">
        <f t="shared" si="41"/>
        <v>0</v>
      </c>
      <c r="F112" s="65">
        <f t="shared" si="41"/>
        <v>0</v>
      </c>
      <c r="G112" s="65">
        <f t="shared" si="41"/>
        <v>0</v>
      </c>
      <c r="H112" s="65">
        <f t="shared" si="41"/>
        <v>0</v>
      </c>
      <c r="I112" s="65">
        <f t="shared" si="41"/>
        <v>0</v>
      </c>
      <c r="J112" s="65">
        <f t="shared" si="41"/>
        <v>0</v>
      </c>
      <c r="K112" s="65">
        <f t="shared" si="41"/>
        <v>0</v>
      </c>
    </row>
    <row r="113" spans="1:12" x14ac:dyDescent="0.3">
      <c r="A113" s="65" t="str">
        <f t="shared" ref="A113:K113" si="42">A26</f>
        <v>bi</v>
      </c>
      <c r="B113" s="65">
        <f t="shared" si="42"/>
        <v>26.800462963158715</v>
      </c>
      <c r="C113" s="65">
        <f t="shared" si="42"/>
        <v>16.607700975932339</v>
      </c>
      <c r="D113" s="65">
        <f t="shared" si="42"/>
        <v>18.989869001450277</v>
      </c>
      <c r="E113" s="65">
        <f t="shared" si="42"/>
        <v>24.568175383394298</v>
      </c>
      <c r="F113" s="65">
        <f t="shared" si="42"/>
        <v>26.654898562309636</v>
      </c>
      <c r="G113" s="65">
        <f t="shared" si="42"/>
        <v>19.927936205706025</v>
      </c>
      <c r="H113" s="65">
        <f t="shared" si="42"/>
        <v>24.032287665936447</v>
      </c>
      <c r="I113" s="65">
        <f t="shared" si="42"/>
        <v>19.829528448182916</v>
      </c>
      <c r="J113" s="65">
        <f t="shared" si="42"/>
        <v>23.336478627409665</v>
      </c>
      <c r="K113" s="65">
        <f t="shared" si="42"/>
        <v>40.954343410159886</v>
      </c>
    </row>
    <row r="114" spans="1:12" x14ac:dyDescent="0.3">
      <c r="A114" s="65" t="s">
        <v>136</v>
      </c>
      <c r="B114" s="65">
        <f>B112*B113</f>
        <v>8.0401388889476149</v>
      </c>
      <c r="C114" s="65">
        <f t="shared" ref="C114:K114" si="43">C112*C113</f>
        <v>1.660770097593234</v>
      </c>
      <c r="D114" s="65">
        <f t="shared" si="43"/>
        <v>11.393921400870166</v>
      </c>
      <c r="E114" s="65">
        <f t="shared" si="43"/>
        <v>0</v>
      </c>
      <c r="F114" s="65">
        <f t="shared" si="43"/>
        <v>0</v>
      </c>
      <c r="G114" s="65">
        <f t="shared" si="43"/>
        <v>0</v>
      </c>
      <c r="H114" s="65">
        <f t="shared" si="43"/>
        <v>0</v>
      </c>
      <c r="I114" s="65">
        <f t="shared" si="43"/>
        <v>0</v>
      </c>
      <c r="J114" s="65">
        <f t="shared" si="43"/>
        <v>0</v>
      </c>
      <c r="K114" s="65">
        <f t="shared" si="43"/>
        <v>0</v>
      </c>
    </row>
    <row r="119" spans="1:12" ht="15.6" x14ac:dyDescent="0.35">
      <c r="A119" s="11" t="s">
        <v>187</v>
      </c>
      <c r="L119" s="61">
        <f>SUM(B131:K131)</f>
        <v>4097155.8394026672</v>
      </c>
    </row>
    <row r="120" spans="1:12" ht="15.6" x14ac:dyDescent="0.35">
      <c r="A120" s="59" t="s">
        <v>188</v>
      </c>
      <c r="B120" s="24" t="s">
        <v>190</v>
      </c>
      <c r="C120" s="24" t="s">
        <v>191</v>
      </c>
      <c r="D120" s="24" t="s">
        <v>192</v>
      </c>
      <c r="E120" s="24"/>
      <c r="F120" s="24"/>
      <c r="G120" s="24"/>
      <c r="H120" s="24"/>
      <c r="I120" s="24"/>
      <c r="J120" s="24"/>
      <c r="K120" s="24"/>
    </row>
    <row r="121" spans="1:12" x14ac:dyDescent="0.3">
      <c r="A121" s="60">
        <f>B21</f>
        <v>0.3</v>
      </c>
      <c r="B121" s="5">
        <f t="shared" ref="B121:K121" si="44">B71*$A121</f>
        <v>59272.376258697732</v>
      </c>
      <c r="C121" s="5">
        <f t="shared" si="44"/>
        <v>16688.01481572894</v>
      </c>
      <c r="D121" s="5">
        <f t="shared" si="44"/>
        <v>65413.255772758072</v>
      </c>
      <c r="E121" s="5">
        <f t="shared" si="44"/>
        <v>38887.487752473287</v>
      </c>
      <c r="F121" s="5">
        <f t="shared" si="44"/>
        <v>74759.195867687027</v>
      </c>
      <c r="G121" s="5">
        <f t="shared" si="44"/>
        <v>41834.764563255107</v>
      </c>
      <c r="H121" s="5">
        <f t="shared" si="44"/>
        <v>37050.912323995057</v>
      </c>
      <c r="I121" s="5">
        <f t="shared" si="44"/>
        <v>42690.930059565246</v>
      </c>
      <c r="J121" s="5">
        <f t="shared" si="44"/>
        <v>99095.599031828882</v>
      </c>
      <c r="K121" s="5">
        <f t="shared" si="44"/>
        <v>175236.9270103093</v>
      </c>
    </row>
    <row r="122" spans="1:12" x14ac:dyDescent="0.3">
      <c r="A122" s="23">
        <f>C21</f>
        <v>0.1</v>
      </c>
      <c r="B122" s="5">
        <f t="shared" ref="B122:K122" si="45">B72*$A122</f>
        <v>5562.6716052429801</v>
      </c>
      <c r="C122" s="5">
        <f t="shared" si="45"/>
        <v>2459.4046219636057</v>
      </c>
      <c r="D122" s="5">
        <f t="shared" si="45"/>
        <v>19998.641371764563</v>
      </c>
      <c r="E122" s="5">
        <f t="shared" si="45"/>
        <v>4553.3056984507411</v>
      </c>
      <c r="F122" s="5">
        <f t="shared" si="45"/>
        <v>8594.7701264100233</v>
      </c>
      <c r="G122" s="5">
        <f t="shared" si="45"/>
        <v>5035.8288465789356</v>
      </c>
      <c r="H122" s="5">
        <f t="shared" si="45"/>
        <v>4682.83605934764</v>
      </c>
      <c r="I122" s="5">
        <f t="shared" si="45"/>
        <v>5020.6946847084255</v>
      </c>
      <c r="J122" s="5">
        <f t="shared" si="45"/>
        <v>11654.202582209271</v>
      </c>
      <c r="K122" s="5">
        <f t="shared" si="45"/>
        <v>19911.93539804751</v>
      </c>
      <c r="L122" s="63"/>
    </row>
    <row r="123" spans="1:12" x14ac:dyDescent="0.3">
      <c r="A123" s="60">
        <f>D21</f>
        <v>0.6</v>
      </c>
      <c r="B123" s="5">
        <f t="shared" ref="B123:K123" si="46">B73*$A123</f>
        <v>130826.51154551614</v>
      </c>
      <c r="C123" s="5">
        <f t="shared" si="46"/>
        <v>119991.84823058738</v>
      </c>
      <c r="D123" s="5">
        <f t="shared" si="46"/>
        <v>577522.8598383551</v>
      </c>
      <c r="E123" s="5">
        <f t="shared" si="46"/>
        <v>243662.72198060888</v>
      </c>
      <c r="F123" s="5">
        <f t="shared" si="46"/>
        <v>350369.44227949402</v>
      </c>
      <c r="G123" s="5">
        <f t="shared" si="46"/>
        <v>94511.833418289869</v>
      </c>
      <c r="H123" s="5">
        <f t="shared" si="46"/>
        <v>223212.60066781391</v>
      </c>
      <c r="I123" s="5">
        <f t="shared" si="46"/>
        <v>188455.5945572358</v>
      </c>
      <c r="J123" s="5">
        <f t="shared" si="46"/>
        <v>548255.28780390811</v>
      </c>
      <c r="K123" s="5">
        <f t="shared" si="46"/>
        <v>881943.38462983503</v>
      </c>
    </row>
    <row r="124" spans="1:12" x14ac:dyDescent="0.3">
      <c r="A124" s="60">
        <f>E21</f>
        <v>0</v>
      </c>
      <c r="B124" s="5">
        <f t="shared" ref="B124:K124" si="47">B74*$A124</f>
        <v>0</v>
      </c>
      <c r="C124" s="5">
        <f t="shared" si="47"/>
        <v>0</v>
      </c>
      <c r="D124" s="5">
        <f t="shared" si="47"/>
        <v>0</v>
      </c>
      <c r="E124" s="5">
        <f t="shared" si="47"/>
        <v>0</v>
      </c>
      <c r="F124" s="5">
        <f t="shared" si="47"/>
        <v>0</v>
      </c>
      <c r="G124" s="5">
        <f t="shared" si="47"/>
        <v>0</v>
      </c>
      <c r="H124" s="5">
        <f t="shared" si="47"/>
        <v>0</v>
      </c>
      <c r="I124" s="5">
        <f t="shared" si="47"/>
        <v>0</v>
      </c>
      <c r="J124" s="5">
        <f t="shared" si="47"/>
        <v>0</v>
      </c>
      <c r="K124" s="5">
        <f t="shared" si="47"/>
        <v>0</v>
      </c>
    </row>
    <row r="125" spans="1:12" x14ac:dyDescent="0.3">
      <c r="A125" s="60">
        <f>F21</f>
        <v>0</v>
      </c>
      <c r="B125" s="5">
        <f t="shared" ref="B125:K125" si="48">B75*$A125</f>
        <v>0</v>
      </c>
      <c r="C125" s="5">
        <f t="shared" si="48"/>
        <v>0</v>
      </c>
      <c r="D125" s="5">
        <f t="shared" si="48"/>
        <v>0</v>
      </c>
      <c r="E125" s="5">
        <f t="shared" si="48"/>
        <v>0</v>
      </c>
      <c r="F125" s="5">
        <f t="shared" si="48"/>
        <v>0</v>
      </c>
      <c r="G125" s="5">
        <f t="shared" si="48"/>
        <v>0</v>
      </c>
      <c r="H125" s="5">
        <f t="shared" si="48"/>
        <v>0</v>
      </c>
      <c r="I125" s="5">
        <f t="shared" si="48"/>
        <v>0</v>
      </c>
      <c r="J125" s="5">
        <f t="shared" si="48"/>
        <v>0</v>
      </c>
      <c r="K125" s="5">
        <f t="shared" si="48"/>
        <v>0</v>
      </c>
    </row>
    <row r="126" spans="1:12" x14ac:dyDescent="0.3">
      <c r="A126" s="60">
        <f>G21</f>
        <v>0</v>
      </c>
      <c r="B126" s="5">
        <f t="shared" ref="B126:K126" si="49">B76*$A126</f>
        <v>0</v>
      </c>
      <c r="C126" s="5">
        <f t="shared" si="49"/>
        <v>0</v>
      </c>
      <c r="D126" s="5">
        <f t="shared" si="49"/>
        <v>0</v>
      </c>
      <c r="E126" s="5">
        <f t="shared" si="49"/>
        <v>0</v>
      </c>
      <c r="F126" s="5">
        <f t="shared" si="49"/>
        <v>0</v>
      </c>
      <c r="G126" s="5">
        <f t="shared" si="49"/>
        <v>0</v>
      </c>
      <c r="H126" s="5">
        <f t="shared" si="49"/>
        <v>0</v>
      </c>
      <c r="I126" s="5">
        <f t="shared" si="49"/>
        <v>0</v>
      </c>
      <c r="J126" s="5">
        <f t="shared" si="49"/>
        <v>0</v>
      </c>
      <c r="K126" s="5">
        <f t="shared" si="49"/>
        <v>0</v>
      </c>
    </row>
    <row r="127" spans="1:12" x14ac:dyDescent="0.3">
      <c r="A127" s="60">
        <f>H21</f>
        <v>0</v>
      </c>
      <c r="B127" s="5">
        <f t="shared" ref="B127:K127" si="50">B77*$A127</f>
        <v>0</v>
      </c>
      <c r="C127" s="5">
        <f t="shared" si="50"/>
        <v>0</v>
      </c>
      <c r="D127" s="5">
        <f t="shared" si="50"/>
        <v>0</v>
      </c>
      <c r="E127" s="5">
        <f t="shared" si="50"/>
        <v>0</v>
      </c>
      <c r="F127" s="5">
        <f t="shared" si="50"/>
        <v>0</v>
      </c>
      <c r="G127" s="5">
        <f t="shared" si="50"/>
        <v>0</v>
      </c>
      <c r="H127" s="5">
        <f t="shared" si="50"/>
        <v>0</v>
      </c>
      <c r="I127" s="5">
        <f t="shared" si="50"/>
        <v>0</v>
      </c>
      <c r="J127" s="5">
        <f t="shared" si="50"/>
        <v>0</v>
      </c>
      <c r="K127" s="5">
        <f t="shared" si="50"/>
        <v>0</v>
      </c>
    </row>
    <row r="128" spans="1:12" x14ac:dyDescent="0.3">
      <c r="A128" s="23">
        <f>I21</f>
        <v>0</v>
      </c>
      <c r="B128" s="5">
        <f t="shared" ref="B128:K128" si="51">B78*$A128</f>
        <v>0</v>
      </c>
      <c r="C128" s="5">
        <f t="shared" si="51"/>
        <v>0</v>
      </c>
      <c r="D128" s="5">
        <f t="shared" si="51"/>
        <v>0</v>
      </c>
      <c r="E128" s="5">
        <f t="shared" si="51"/>
        <v>0</v>
      </c>
      <c r="F128" s="5">
        <f t="shared" si="51"/>
        <v>0</v>
      </c>
      <c r="G128" s="5">
        <f t="shared" si="51"/>
        <v>0</v>
      </c>
      <c r="H128" s="5">
        <f t="shared" si="51"/>
        <v>0</v>
      </c>
      <c r="I128" s="5">
        <f t="shared" si="51"/>
        <v>0</v>
      </c>
      <c r="J128" s="5">
        <f t="shared" si="51"/>
        <v>0</v>
      </c>
      <c r="K128" s="5">
        <f t="shared" si="51"/>
        <v>0</v>
      </c>
    </row>
    <row r="129" spans="1:13" x14ac:dyDescent="0.3">
      <c r="A129" s="60">
        <f>J21</f>
        <v>0</v>
      </c>
      <c r="B129" s="5">
        <f t="shared" ref="B129:K129" si="52">B79*$A129</f>
        <v>0</v>
      </c>
      <c r="C129" s="5">
        <f t="shared" si="52"/>
        <v>0</v>
      </c>
      <c r="D129" s="5">
        <f t="shared" si="52"/>
        <v>0</v>
      </c>
      <c r="E129" s="5">
        <f t="shared" si="52"/>
        <v>0</v>
      </c>
      <c r="F129" s="5">
        <f t="shared" si="52"/>
        <v>0</v>
      </c>
      <c r="G129" s="5">
        <f t="shared" si="52"/>
        <v>0</v>
      </c>
      <c r="H129" s="5">
        <f t="shared" si="52"/>
        <v>0</v>
      </c>
      <c r="I129" s="5">
        <f t="shared" si="52"/>
        <v>0</v>
      </c>
      <c r="J129" s="5">
        <f t="shared" si="52"/>
        <v>0</v>
      </c>
      <c r="K129" s="5">
        <f t="shared" si="52"/>
        <v>0</v>
      </c>
    </row>
    <row r="130" spans="1:13" x14ac:dyDescent="0.3">
      <c r="A130" s="60">
        <f>K21</f>
        <v>0</v>
      </c>
      <c r="B130" s="5">
        <f t="shared" ref="B130:K130" si="53">B80*$A130</f>
        <v>0</v>
      </c>
      <c r="C130" s="5">
        <f t="shared" si="53"/>
        <v>0</v>
      </c>
      <c r="D130" s="5">
        <f t="shared" si="53"/>
        <v>0</v>
      </c>
      <c r="E130" s="5">
        <f t="shared" si="53"/>
        <v>0</v>
      </c>
      <c r="F130" s="5">
        <f t="shared" si="53"/>
        <v>0</v>
      </c>
      <c r="G130" s="5">
        <f t="shared" si="53"/>
        <v>0</v>
      </c>
      <c r="H130" s="5">
        <f t="shared" si="53"/>
        <v>0</v>
      </c>
      <c r="I130" s="5">
        <f t="shared" si="53"/>
        <v>0</v>
      </c>
      <c r="J130" s="5">
        <f t="shared" si="53"/>
        <v>0</v>
      </c>
      <c r="K130" s="5">
        <f t="shared" si="53"/>
        <v>0</v>
      </c>
    </row>
    <row r="131" spans="1:13" x14ac:dyDescent="0.3">
      <c r="A131" s="63" t="s">
        <v>189</v>
      </c>
      <c r="B131" s="61">
        <f t="shared" ref="B131:K131" si="54">SUM(B121:B130)</f>
        <v>195661.55940945685</v>
      </c>
      <c r="C131" s="61">
        <f t="shared" si="54"/>
        <v>139139.26766827994</v>
      </c>
      <c r="D131" s="61">
        <f t="shared" si="54"/>
        <v>662934.75698287773</v>
      </c>
      <c r="E131" s="61">
        <f t="shared" si="54"/>
        <v>287103.51543153293</v>
      </c>
      <c r="F131" s="61">
        <f t="shared" si="54"/>
        <v>433723.40827359108</v>
      </c>
      <c r="G131" s="61">
        <f t="shared" si="54"/>
        <v>141382.42682812392</v>
      </c>
      <c r="H131" s="61">
        <f t="shared" si="54"/>
        <v>264946.34905115661</v>
      </c>
      <c r="I131" s="61">
        <f t="shared" si="54"/>
        <v>236167.21930150947</v>
      </c>
      <c r="J131" s="61">
        <f t="shared" si="54"/>
        <v>659005.08941794629</v>
      </c>
      <c r="K131" s="61">
        <f t="shared" si="54"/>
        <v>1077092.2470381919</v>
      </c>
    </row>
    <row r="134" spans="1:13" ht="18" x14ac:dyDescent="0.3">
      <c r="A134" s="74" t="s">
        <v>184</v>
      </c>
      <c r="B134" s="74"/>
      <c r="C134" s="74"/>
      <c r="D134" s="74"/>
      <c r="F134" s="63" t="s">
        <v>144</v>
      </c>
      <c r="G134" s="63"/>
      <c r="H134" s="63"/>
      <c r="I134" s="63"/>
      <c r="J134" s="63"/>
      <c r="K134" s="63"/>
    </row>
    <row r="135" spans="1:13" ht="18" x14ac:dyDescent="0.3">
      <c r="A135" s="64" t="s">
        <v>134</v>
      </c>
      <c r="B135" s="64">
        <f>SUM(B99:K108)</f>
        <v>470373.2487793917</v>
      </c>
      <c r="C135" s="17"/>
      <c r="D135" s="15"/>
    </row>
    <row r="136" spans="1:13" ht="18" x14ac:dyDescent="0.3">
      <c r="A136" s="17" t="s">
        <v>135</v>
      </c>
      <c r="B136" s="17">
        <f>SUM(B114:K114)</f>
        <v>21.094830387411015</v>
      </c>
      <c r="C136" s="64"/>
      <c r="D136" s="15"/>
      <c r="F136" s="65" t="s">
        <v>145</v>
      </c>
      <c r="G136" s="65">
        <f>((3*B145)-(B144^2))/3</f>
        <v>-0.30409652799299414</v>
      </c>
    </row>
    <row r="137" spans="1:13" x14ac:dyDescent="0.3">
      <c r="A137" s="63"/>
      <c r="B137" s="63"/>
      <c r="C137" s="63"/>
      <c r="D137" s="63"/>
      <c r="F137" s="65" t="s">
        <v>146</v>
      </c>
      <c r="G137" s="65">
        <f>((2*B144^3)-(9*B144*B145)+(27*B146))/27</f>
        <v>-6.4490193337074564E-2</v>
      </c>
    </row>
    <row r="138" spans="1:13" ht="15.6" x14ac:dyDescent="0.3">
      <c r="A138" s="14" t="s">
        <v>137</v>
      </c>
      <c r="B138" s="14">
        <f>(B135*B8)/((B4*B7)^2)</f>
        <v>3.4692805120767375E-2</v>
      </c>
      <c r="C138" s="63"/>
      <c r="D138" s="63"/>
      <c r="F138" s="65" t="s">
        <v>147</v>
      </c>
      <c r="G138" s="65">
        <f>((G137^2)/4)+((G136^3)/27)</f>
        <v>-1.780951636722386E-6</v>
      </c>
      <c r="L138" s="75"/>
      <c r="M138" s="75"/>
    </row>
    <row r="139" spans="1:13" ht="15.6" x14ac:dyDescent="0.3">
      <c r="A139" s="14" t="s">
        <v>138</v>
      </c>
      <c r="B139" s="14">
        <f>(B136*B8)/(B4*B7)</f>
        <v>4.0509738622397963E-3</v>
      </c>
      <c r="C139" s="63"/>
      <c r="D139" s="63"/>
    </row>
    <row r="140" spans="1:13" x14ac:dyDescent="0.3">
      <c r="F140" s="1" t="s">
        <v>150</v>
      </c>
      <c r="G140" s="1"/>
      <c r="H140" s="1"/>
      <c r="I140" s="1"/>
      <c r="J140" s="1"/>
      <c r="K140" s="1"/>
    </row>
    <row r="141" spans="1:13" x14ac:dyDescent="0.3">
      <c r="F141" s="1" t="s">
        <v>151</v>
      </c>
      <c r="G141" s="1"/>
      <c r="H141" s="1"/>
      <c r="I141" s="1"/>
      <c r="J141" s="1"/>
      <c r="K141" s="1"/>
    </row>
    <row r="142" spans="1:13" x14ac:dyDescent="0.3">
      <c r="A142" s="1" t="s">
        <v>139</v>
      </c>
      <c r="B142" s="1"/>
      <c r="C142" s="1"/>
      <c r="D142" s="1"/>
      <c r="E142" s="1"/>
    </row>
    <row r="143" spans="1:13" x14ac:dyDescent="0.3">
      <c r="A143" s="65" t="s">
        <v>142</v>
      </c>
      <c r="B143" s="65">
        <v>1</v>
      </c>
    </row>
    <row r="144" spans="1:13" x14ac:dyDescent="0.3">
      <c r="A144" s="65" t="s">
        <v>141</v>
      </c>
      <c r="B144" s="65">
        <f>-(1-B139)</f>
        <v>-0.99594902613776015</v>
      </c>
    </row>
    <row r="145" spans="1:11" x14ac:dyDescent="0.3">
      <c r="A145" s="65" t="s">
        <v>140</v>
      </c>
      <c r="B145" s="65">
        <f>B138-(3*B139^2)-(2*B139)</f>
        <v>2.6541626228590132E-2</v>
      </c>
    </row>
    <row r="146" spans="1:11" x14ac:dyDescent="0.3">
      <c r="A146" s="65" t="s">
        <v>143</v>
      </c>
      <c r="B146" s="65">
        <f>-((B138*B139)-(B139^2)-(B139^3))</f>
        <v>-1.2406277946160735E-4</v>
      </c>
    </row>
    <row r="150" spans="1:11" x14ac:dyDescent="0.3">
      <c r="A150" s="75" t="s">
        <v>148</v>
      </c>
      <c r="B150" s="75"/>
      <c r="C150" s="75"/>
      <c r="D150" s="75"/>
      <c r="E150" s="75"/>
      <c r="F150" s="63"/>
      <c r="G150" s="75" t="s">
        <v>149</v>
      </c>
      <c r="H150" s="75"/>
      <c r="I150" s="75"/>
      <c r="J150" s="75"/>
      <c r="K150" s="75"/>
    </row>
    <row r="152" spans="1:11" x14ac:dyDescent="0.3">
      <c r="A152" s="65" t="s">
        <v>152</v>
      </c>
      <c r="B152" s="65" t="e">
        <f>(-($G$137/2)-SQRT($G$138))^(1/3)</f>
        <v>#NUM!</v>
      </c>
      <c r="G152" s="65" t="s">
        <v>124</v>
      </c>
      <c r="H152" s="65">
        <f>2*SQRT(-G136/3)</f>
        <v>0.63675901039874749</v>
      </c>
    </row>
    <row r="153" spans="1:11" x14ac:dyDescent="0.3">
      <c r="A153" s="65" t="s">
        <v>153</v>
      </c>
      <c r="B153" s="65" t="e">
        <f>(-($G$137/2)+SQRT($G$138))^(1/3)</f>
        <v>#NUM!</v>
      </c>
      <c r="G153" s="65" t="s">
        <v>152</v>
      </c>
      <c r="H153" s="65">
        <f>(3*G137)/(G136*H152)</f>
        <v>0.99914466295211446</v>
      </c>
      <c r="J153" s="65" t="s">
        <v>157</v>
      </c>
      <c r="K153" s="65">
        <f>($H$152*COS($H$156))-(B144/3)</f>
        <v>0.96868149548879434</v>
      </c>
    </row>
    <row r="154" spans="1:11" x14ac:dyDescent="0.3">
      <c r="J154" s="65" t="s">
        <v>158</v>
      </c>
      <c r="K154" s="65">
        <f>($H$152*COS($H$156 +((4*PI())/3)))-(B144/3)</f>
        <v>2.1236771023528056E-2</v>
      </c>
    </row>
    <row r="155" spans="1:11" x14ac:dyDescent="0.3">
      <c r="A155" s="65" t="s">
        <v>154</v>
      </c>
      <c r="B155" s="65" t="e">
        <f>B152+B153-(B144/3)</f>
        <v>#NUM!</v>
      </c>
      <c r="G155" s="65" t="s">
        <v>155</v>
      </c>
      <c r="H155" s="65">
        <f>ACOS(H153)</f>
        <v>4.1363244778005015E-2</v>
      </c>
      <c r="J155" s="65" t="s">
        <v>159</v>
      </c>
      <c r="K155" s="65">
        <f>($H$152*COS($H$156 +((2*PI())/3)))-(B144/3)</f>
        <v>6.0307596254376983E-3</v>
      </c>
    </row>
    <row r="156" spans="1:11" x14ac:dyDescent="0.3">
      <c r="G156" s="65" t="s">
        <v>156</v>
      </c>
      <c r="H156" s="65">
        <f>H155/3</f>
        <v>1.3787748259335006E-2</v>
      </c>
    </row>
    <row r="161" spans="1:8" x14ac:dyDescent="0.3">
      <c r="A161" s="5"/>
    </row>
    <row r="163" spans="1:8" x14ac:dyDescent="0.3">
      <c r="B163" s="5"/>
      <c r="E163" s="5"/>
      <c r="F163" s="5"/>
      <c r="G163" s="5"/>
      <c r="H163" s="5"/>
    </row>
    <row r="164" spans="1:8" x14ac:dyDescent="0.3">
      <c r="A164" s="5"/>
    </row>
    <row r="165" spans="1:8" x14ac:dyDescent="0.3">
      <c r="A165" s="5"/>
    </row>
    <row r="166" spans="1:8" x14ac:dyDescent="0.3">
      <c r="A166" s="5"/>
    </row>
    <row r="167" spans="1:8" x14ac:dyDescent="0.3">
      <c r="A167" s="5"/>
    </row>
  </sheetData>
  <mergeCells count="8">
    <mergeCell ref="E13:J13"/>
    <mergeCell ref="A35:I35"/>
    <mergeCell ref="A1:L2"/>
    <mergeCell ref="E6:F6"/>
    <mergeCell ref="G6:I6"/>
    <mergeCell ref="I7:J7"/>
    <mergeCell ref="E9:F11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SRK</vt:lpstr>
      <vt:lpstr>SRK H2 Modification</vt:lpstr>
      <vt:lpstr>PR</vt:lpstr>
      <vt:lpstr>CONSTANTS</vt:lpstr>
      <vt:lpstr>PR (2)</vt:lpstr>
      <vt:lpstr>PR!P</vt:lpstr>
      <vt:lpstr>'PR (2)'!P</vt:lpstr>
      <vt:lpstr>SRK!P</vt:lpstr>
      <vt:lpstr>'SRK H2 Modification'!P</vt:lpstr>
      <vt:lpstr>PR!Z</vt:lpstr>
      <vt:lpstr>'PR (2)'!Z</vt:lpstr>
      <vt:lpstr>SRK!Z</vt:lpstr>
      <vt:lpstr>'SRK H2 Modification'!Z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S</dc:creator>
  <cp:lastModifiedBy>Raghav</cp:lastModifiedBy>
  <dcterms:created xsi:type="dcterms:W3CDTF">2020-01-25T10:19:26Z</dcterms:created>
  <dcterms:modified xsi:type="dcterms:W3CDTF">2023-06-19T18:19:15Z</dcterms:modified>
</cp:coreProperties>
</file>